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cassantos/Desktop/faillink/"/>
    </mc:Choice>
  </mc:AlternateContent>
  <xr:revisionPtr revIDLastSave="0" documentId="13_ncr:1_{DEC982B6-9488-9046-91EA-593568DBD6D1}" xr6:coauthVersionLast="47" xr6:coauthVersionMax="47" xr10:uidLastSave="{00000000-0000-0000-0000-000000000000}"/>
  <bookViews>
    <workbookView xWindow="0" yWindow="660" windowWidth="29400" windowHeight="17040" tabRatio="550" activeTab="1" xr2:uid="{00000000-000D-0000-FFFF-FFFF00000000}"/>
  </bookViews>
  <sheets>
    <sheet name="3年間概念" sheetId="4" r:id="rId1"/>
    <sheet name="2026年" sheetId="16" r:id="rId2"/>
    <sheet name="2027年" sheetId="17" r:id="rId3"/>
    <sheet name="2028年" sheetId="18" r:id="rId4"/>
    <sheet name="Chart Data" sheetId="2" state="hidden" r:id="rId5"/>
  </sheets>
  <definedNames>
    <definedName name="Capital" localSheetId="1">'2026年'!$H$6</definedName>
    <definedName name="Capital" localSheetId="2">'2027年'!$H$6</definedName>
    <definedName name="Capital" localSheetId="3">'2028年'!$H$6</definedName>
    <definedName name="Capital">#REF!</definedName>
    <definedName name="Capital1">#REF!</definedName>
    <definedName name="Capital10">#REF!</definedName>
    <definedName name="Capital11">#REF!</definedName>
    <definedName name="Capital12">#REF!</definedName>
    <definedName name="Capital13">#REF!</definedName>
    <definedName name="Capital14">#REF!</definedName>
    <definedName name="Capital2">#REF!</definedName>
    <definedName name="Capital3">#REF!</definedName>
    <definedName name="Capital4">#REF!</definedName>
    <definedName name="Capital5">#REF!</definedName>
    <definedName name="Capital6">#REF!</definedName>
    <definedName name="Capital7">#REF!</definedName>
    <definedName name="Capital8">#REF!</definedName>
    <definedName name="Capital9">#REF!</definedName>
    <definedName name="_xlnm.Print_Titles" localSheetId="1">'2026年'!$16:$17</definedName>
    <definedName name="_xlnm.Print_Titles" localSheetId="2">'2027年'!$16:$17</definedName>
    <definedName name="_xlnm.Print_Titles" localSheetId="3">'2028年'!$16:$17</definedName>
    <definedName name="qw">#REF!</definedName>
    <definedName name="TotalMonthlyExpenses" localSheetId="1">'2026年'!$F$9</definedName>
    <definedName name="TotalMonthlyExpenses" localSheetId="2">'2027年'!$F$9</definedName>
    <definedName name="TotalMonthlyExpenses" localSheetId="3">'2028年'!$F$9</definedName>
    <definedName name="TotalMonthlyExpenses">#REF!</definedName>
    <definedName name="TotalMonthlyIncome" localSheetId="1">'2026年'!$F$6</definedName>
    <definedName name="TotalMonthlyIncome" localSheetId="2">'2027年'!$F$6</definedName>
    <definedName name="TotalMonthlyIncome" localSheetId="3">'2028年'!$F$6</definedName>
    <definedName name="TotalMonthlyIncome">#REF!</definedName>
    <definedName name="TotalMonthlySavings" localSheetId="1">'2026年'!$F$12</definedName>
    <definedName name="TotalMonthlySavings" localSheetId="2">'2027年'!$F$12</definedName>
    <definedName name="TotalMonthlySavings" localSheetId="3">'2028年'!$F$12</definedName>
    <definedName name="TotalMonthlySavings">#REF!</definedName>
    <definedName name="月収" localSheetId="1">'2026年'!$B$16:$J$30</definedName>
    <definedName name="月収" localSheetId="2">'2027年'!$B$16:$J$30</definedName>
    <definedName name="月収" localSheetId="3">'2028年'!$B$16:$J$30</definedName>
    <definedName name="月収">#REF!</definedName>
    <definedName name="月収入源" localSheetId="1">'2026年'!$B$16:$J$30</definedName>
    <definedName name="月収入源" localSheetId="2">'2027年'!$B$16:$J$30</definedName>
    <definedName name="月収入源" localSheetId="3">'2028年'!$B$16:$J$30</definedName>
    <definedName name="月収入源">#REF!</definedName>
    <definedName name="資本金" localSheetId="1">'2026年'!$H$6</definedName>
    <definedName name="資本金" localSheetId="2">'2027年'!$H$6</definedName>
    <definedName name="資本金" localSheetId="3">'2028年'!$H$6</definedName>
    <definedName name="資本金">#REF!</definedName>
    <definedName name="売上総利益" localSheetId="1">'2026年'!$C$20</definedName>
    <definedName name="売上総利益" localSheetId="2">'2027年'!$C$20</definedName>
    <definedName name="売上総利益" localSheetId="3">'2028年'!$C$20</definedName>
    <definedName name="売上総利益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16" l="1"/>
  <c r="N32" i="16"/>
  <c r="M32" i="16"/>
  <c r="L32" i="16"/>
  <c r="J32" i="16"/>
  <c r="I32" i="16"/>
  <c r="H32" i="16"/>
  <c r="G32" i="16"/>
  <c r="F32" i="16"/>
  <c r="E32" i="16"/>
  <c r="D32" i="16"/>
  <c r="C32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N32" i="17"/>
  <c r="M32" i="17"/>
  <c r="L32" i="17"/>
  <c r="K32" i="17"/>
  <c r="J32" i="17"/>
  <c r="I32" i="17"/>
  <c r="H32" i="17"/>
  <c r="G32" i="17"/>
  <c r="F32" i="17"/>
  <c r="E32" i="17"/>
  <c r="D32" i="17"/>
  <c r="C32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N32" i="18"/>
  <c r="M32" i="18"/>
  <c r="L32" i="18"/>
  <c r="K32" i="18"/>
  <c r="J32" i="18"/>
  <c r="I32" i="18"/>
  <c r="H32" i="18"/>
  <c r="G32" i="18"/>
  <c r="F32" i="18"/>
  <c r="E32" i="18"/>
  <c r="D32" i="18"/>
  <c r="C32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F6" i="18" l="1"/>
  <c r="F6" i="17"/>
  <c r="F9" i="18"/>
  <c r="F9" i="17"/>
  <c r="F9" i="16"/>
  <c r="F6" i="16"/>
  <c r="B6" i="2"/>
  <c r="B5" i="2"/>
  <c r="B4" i="2" s="1"/>
  <c r="H6" i="18" l="1"/>
  <c r="H6" i="17"/>
  <c r="F12" i="17"/>
  <c r="D2" i="4"/>
  <c r="H6" i="16"/>
  <c r="F12" i="16" s="1"/>
  <c r="F12" i="18"/>
  <c r="E2" i="4"/>
  <c r="C2" i="4"/>
</calcChain>
</file>

<file path=xl/sharedStrings.xml><?xml version="1.0" encoding="utf-8"?>
<sst xmlns="http://schemas.openxmlformats.org/spreadsheetml/2006/main" count="109" uniqueCount="40">
  <si>
    <t xml:space="preserve"> </t>
  </si>
  <si>
    <t>CHART DATA</t>
  </si>
  <si>
    <t>現金残高</t>
    <phoneticPr fontId="9"/>
  </si>
  <si>
    <t>開発費</t>
    <rPh sb="0" eb="3">
      <t>カイハツ</t>
    </rPh>
    <phoneticPr fontId="9"/>
  </si>
  <si>
    <t>広告費</t>
    <rPh sb="0" eb="3">
      <t>コウコク</t>
    </rPh>
    <phoneticPr fontId="9"/>
  </si>
  <si>
    <t>運用費</t>
    <rPh sb="0" eb="3">
      <t>ウンヨウヒ</t>
    </rPh>
    <phoneticPr fontId="9"/>
  </si>
  <si>
    <t>資本金</t>
    <rPh sb="0" eb="3">
      <t>シホn</t>
    </rPh>
    <phoneticPr fontId="9"/>
  </si>
  <si>
    <t>均等割</t>
    <rPh sb="0" eb="3">
      <t>キントウ</t>
    </rPh>
    <phoneticPr fontId="9"/>
  </si>
  <si>
    <t>月</t>
    <rPh sb="0" eb="1">
      <t>ツキ</t>
    </rPh>
    <phoneticPr fontId="9"/>
  </si>
  <si>
    <t>人件費</t>
    <rPh sb="0" eb="3">
      <t>ジンケn</t>
    </rPh>
    <phoneticPr fontId="9"/>
  </si>
  <si>
    <t>売上高</t>
    <rPh sb="0" eb="2">
      <t>ウリアゲ</t>
    </rPh>
    <rPh sb="2" eb="3">
      <t>コウ</t>
    </rPh>
    <phoneticPr fontId="9"/>
  </si>
  <si>
    <t>売上原価</t>
    <rPh sb="0" eb="1">
      <t>ウリアゲ</t>
    </rPh>
    <phoneticPr fontId="9"/>
  </si>
  <si>
    <t>売上総利益</t>
    <rPh sb="0" eb="1">
      <t>ウリアゲ</t>
    </rPh>
    <rPh sb="2" eb="5">
      <t>ソウリリ</t>
    </rPh>
    <phoneticPr fontId="9"/>
  </si>
  <si>
    <t>地代家賃</t>
    <rPh sb="0" eb="1">
      <t>チイキ</t>
    </rPh>
    <rPh sb="1" eb="2">
      <t>ダイヒョウ</t>
    </rPh>
    <rPh sb="2" eb="4">
      <t>ヤチn</t>
    </rPh>
    <phoneticPr fontId="9"/>
  </si>
  <si>
    <t>支払利息</t>
    <rPh sb="0" eb="2">
      <t>シハライ</t>
    </rPh>
    <rPh sb="2" eb="4">
      <t>リソク</t>
    </rPh>
    <phoneticPr fontId="9"/>
  </si>
  <si>
    <t>通信費</t>
    <rPh sb="0" eb="2">
      <t>ツウシn</t>
    </rPh>
    <rPh sb="2" eb="3">
      <t>h</t>
    </rPh>
    <phoneticPr fontId="9"/>
  </si>
  <si>
    <t>水道高熱費</t>
    <rPh sb="0" eb="2">
      <t>スイドウ</t>
    </rPh>
    <rPh sb="2" eb="4">
      <t>k</t>
    </rPh>
    <rPh sb="4" eb="5">
      <t xml:space="preserve">ヒ </t>
    </rPh>
    <phoneticPr fontId="9"/>
  </si>
  <si>
    <t>複利、消耗品費</t>
    <rPh sb="0" eb="2">
      <t>フク</t>
    </rPh>
    <rPh sb="3" eb="5">
      <t>ショウモウ</t>
    </rPh>
    <rPh sb="5" eb="6">
      <t>ヒn</t>
    </rPh>
    <rPh sb="6" eb="7">
      <t>h</t>
    </rPh>
    <phoneticPr fontId="9"/>
  </si>
  <si>
    <r>
      <t>FailLink</t>
    </r>
    <r>
      <rPr>
        <sz val="20"/>
        <color theme="0"/>
        <rFont val="MS Gothic"/>
        <family val="2"/>
        <charset val="134"/>
      </rPr>
      <t>社</t>
    </r>
    <r>
      <rPr>
        <sz val="20"/>
        <color theme="0"/>
        <rFont val="MS Gothic"/>
        <family val="2"/>
        <charset val="128"/>
      </rPr>
      <t>の</t>
    </r>
    <r>
      <rPr>
        <sz val="20"/>
        <color theme="0"/>
        <rFont val="MS Gothic"/>
        <family val="2"/>
        <charset val="134"/>
      </rPr>
      <t>収支計算</t>
    </r>
    <rPh sb="9" eb="11">
      <t>シキ</t>
    </rPh>
    <phoneticPr fontId="9"/>
  </si>
  <si>
    <t>税理士会計費</t>
    <rPh sb="0" eb="3">
      <t>ゼイリ</t>
    </rPh>
    <rPh sb="3" eb="6">
      <t>カイケイ</t>
    </rPh>
    <phoneticPr fontId="9"/>
  </si>
  <si>
    <t>Webドメイン</t>
    <phoneticPr fontId="9"/>
  </si>
  <si>
    <t>支出合計</t>
    <rPh sb="0" eb="1">
      <t>シシュツ</t>
    </rPh>
    <rPh sb="2" eb="4">
      <t>ゴウケイ</t>
    </rPh>
    <phoneticPr fontId="9"/>
  </si>
  <si>
    <r>
      <t>2月</t>
    </r>
    <r>
      <rPr>
        <sz val="13"/>
        <color theme="3" tint="0.24994659260841701"/>
        <rFont val="MS Gothic"/>
        <family val="2"/>
        <charset val="128"/>
      </rPr>
      <t/>
    </r>
  </si>
  <si>
    <r>
      <t>3月</t>
    </r>
    <r>
      <rPr>
        <sz val="13"/>
        <color theme="3" tint="0.24994659260841701"/>
        <rFont val="MS Gothic"/>
        <family val="2"/>
        <charset val="128"/>
      </rPr>
      <t/>
    </r>
  </si>
  <si>
    <r>
      <t>4月</t>
    </r>
    <r>
      <rPr>
        <sz val="13"/>
        <color theme="3" tint="0.24994659260841701"/>
        <rFont val="MS Gothic"/>
        <family val="2"/>
        <charset val="128"/>
      </rPr>
      <t/>
    </r>
  </si>
  <si>
    <r>
      <t>5月</t>
    </r>
    <r>
      <rPr>
        <sz val="13"/>
        <color theme="3" tint="0.24994659260841701"/>
        <rFont val="MS Gothic"/>
        <family val="2"/>
        <charset val="128"/>
      </rPr>
      <t/>
    </r>
  </si>
  <si>
    <r>
      <t>6月</t>
    </r>
    <r>
      <rPr>
        <sz val="13"/>
        <color theme="3" tint="0.24994659260841701"/>
        <rFont val="MS Gothic"/>
        <family val="2"/>
        <charset val="128"/>
      </rPr>
      <t/>
    </r>
  </si>
  <si>
    <r>
      <t>7月</t>
    </r>
    <r>
      <rPr>
        <sz val="13"/>
        <color theme="3" tint="0.24994659260841701"/>
        <rFont val="MS Gothic"/>
        <family val="2"/>
        <charset val="128"/>
      </rPr>
      <t/>
    </r>
  </si>
  <si>
    <r>
      <t>8月</t>
    </r>
    <r>
      <rPr>
        <sz val="13"/>
        <color theme="3" tint="0.24994659260841701"/>
        <rFont val="MS Gothic"/>
        <family val="2"/>
        <charset val="128"/>
      </rPr>
      <t/>
    </r>
  </si>
  <si>
    <r>
      <t>9月</t>
    </r>
    <r>
      <rPr>
        <sz val="13"/>
        <color theme="3" tint="0.24994659260841701"/>
        <rFont val="MS Gothic"/>
        <family val="2"/>
        <charset val="128"/>
      </rPr>
      <t/>
    </r>
  </si>
  <si>
    <r>
      <t>10月</t>
    </r>
    <r>
      <rPr>
        <sz val="13"/>
        <color theme="3" tint="0.24994659260841701"/>
        <rFont val="MS Gothic"/>
        <family val="2"/>
        <charset val="128"/>
      </rPr>
      <t/>
    </r>
  </si>
  <si>
    <r>
      <t>11月</t>
    </r>
    <r>
      <rPr>
        <sz val="13"/>
        <color theme="3" tint="0.24994659260841701"/>
        <rFont val="MS Gothic"/>
        <family val="2"/>
        <charset val="128"/>
      </rPr>
      <t/>
    </r>
  </si>
  <si>
    <r>
      <t>12月</t>
    </r>
    <r>
      <rPr>
        <sz val="13"/>
        <color theme="3" tint="0.24994659260841701"/>
        <rFont val="MS Gothic"/>
        <family val="2"/>
        <charset val="128"/>
      </rPr>
      <t/>
    </r>
  </si>
  <si>
    <t>年収合計</t>
    <rPh sb="0" eb="1">
      <t>ネn</t>
    </rPh>
    <phoneticPr fontId="9"/>
  </si>
  <si>
    <t>年間総支出</t>
    <rPh sb="0" eb="1">
      <t>ネn</t>
    </rPh>
    <phoneticPr fontId="9"/>
  </si>
  <si>
    <t>2025年</t>
    <rPh sb="4" eb="5">
      <t>ネn</t>
    </rPh>
    <phoneticPr fontId="9"/>
  </si>
  <si>
    <r>
      <t>1</t>
    </r>
    <r>
      <rPr>
        <b/>
        <sz val="13"/>
        <color theme="1"/>
        <rFont val="MS Gothic"/>
        <family val="2"/>
        <charset val="128"/>
      </rPr>
      <t>月</t>
    </r>
    <phoneticPr fontId="9"/>
  </si>
  <si>
    <r>
      <t>2026</t>
    </r>
    <r>
      <rPr>
        <u/>
        <sz val="10"/>
        <color theme="10"/>
        <rFont val="MS Gothic"/>
        <family val="2"/>
        <charset val="128"/>
        <scheme val="minor"/>
      </rPr>
      <t>年</t>
    </r>
    <rPh sb="4" eb="5">
      <t>ネn</t>
    </rPh>
    <phoneticPr fontId="9"/>
  </si>
  <si>
    <r>
      <t>2027</t>
    </r>
    <r>
      <rPr>
        <u/>
        <sz val="10"/>
        <color theme="10"/>
        <rFont val="MS Gothic"/>
        <family val="2"/>
        <charset val="128"/>
        <scheme val="minor"/>
      </rPr>
      <t>年</t>
    </r>
    <rPh sb="4" eb="5">
      <t>ネn</t>
    </rPh>
    <phoneticPr fontId="9"/>
  </si>
  <si>
    <r>
      <rPr>
        <u/>
        <sz val="10"/>
        <color theme="10"/>
        <rFont val="Century Gothic"/>
        <family val="1"/>
        <scheme val="minor"/>
      </rPr>
      <t>2028</t>
    </r>
    <r>
      <rPr>
        <u/>
        <sz val="10"/>
        <color theme="10"/>
        <rFont val="MS Gothic"/>
        <family val="2"/>
        <charset val="128"/>
        <scheme val="minor"/>
      </rPr>
      <t>年</t>
    </r>
    <rPh sb="4" eb="5">
      <t>ネn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</si>
</sst>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&quot;$&quot;#,##0"/>
    <numFmt numFmtId="177" formatCode="&quot;$&quot;#,##0.00"/>
    <numFmt numFmtId="178" formatCode="m/d/yyyy"/>
    <numFmt numFmtId="179" formatCode="[$¥-411]#,##0;[$¥-411]#,##0"/>
    <numFmt numFmtId="180" formatCode="[$¥-411]#,##0"/>
    <numFmt numFmtId="181" formatCode="&quot;¥&quot;#,##0"/>
  </numFmts>
  <fonts count="34">
    <font>
      <sz val="10"/>
      <color theme="3" tint="0.24994659260841701"/>
      <name val="Century Gothic"/>
      <family val="2"/>
      <scheme val="minor"/>
    </font>
    <font>
      <b/>
      <sz val="10"/>
      <color theme="3" tint="9.9948118533890809E-2"/>
      <name val="Tahoma"/>
      <family val="2"/>
      <scheme val="major"/>
    </font>
    <font>
      <sz val="10"/>
      <color theme="2" tint="-9.9978637043366805E-2"/>
      <name val="Century Gothic"/>
      <family val="2"/>
      <scheme val="minor"/>
    </font>
    <font>
      <sz val="24"/>
      <color theme="3" tint="0.24994659260841701"/>
      <name val="Century Gothic"/>
      <family val="2"/>
      <scheme val="minor"/>
    </font>
    <font>
      <sz val="10"/>
      <color theme="4"/>
      <name val="Tahoma"/>
      <family val="2"/>
      <scheme val="major"/>
    </font>
    <font>
      <sz val="20"/>
      <color theme="0"/>
      <name val="Tahoma"/>
      <family val="2"/>
      <scheme val="major"/>
    </font>
    <font>
      <sz val="13"/>
      <color theme="3" tint="0.24994659260841701"/>
      <name val="Tahoma"/>
      <family val="2"/>
      <scheme val="major"/>
    </font>
    <font>
      <sz val="10"/>
      <name val="Century Gothic"/>
      <family val="2"/>
      <scheme val="minor"/>
    </font>
    <font>
      <sz val="10"/>
      <color rgb="FFFF0000"/>
      <name val="Century Gothic"/>
      <family val="2"/>
      <scheme val="minor"/>
    </font>
    <font>
      <sz val="6"/>
      <name val="Tsukushi A Round Gothic Bold"/>
      <family val="3"/>
      <charset val="128"/>
      <scheme val="minor"/>
    </font>
    <font>
      <sz val="20"/>
      <color theme="0"/>
      <name val="MS Gothic"/>
      <family val="2"/>
      <charset val="128"/>
    </font>
    <font>
      <sz val="14"/>
      <color theme="4"/>
      <name val="MS Gothic"/>
      <family val="2"/>
      <charset val="128"/>
    </font>
    <font>
      <sz val="14"/>
      <color theme="4"/>
      <name val="Tahoma"/>
      <family val="2"/>
      <scheme val="major"/>
    </font>
    <font>
      <sz val="20"/>
      <color theme="0"/>
      <name val="MS Gothic"/>
      <family val="2"/>
      <charset val="134"/>
    </font>
    <font>
      <sz val="10"/>
      <color theme="3" tint="0.24994659260841701"/>
      <name val="Tsukushi A Round Gothic Bold"/>
      <family val="3"/>
      <charset val="128"/>
      <scheme val="minor"/>
    </font>
    <font>
      <u/>
      <sz val="10"/>
      <color theme="10"/>
      <name val="Century Gothic"/>
      <family val="2"/>
      <scheme val="minor"/>
    </font>
    <font>
      <u/>
      <sz val="10"/>
      <color theme="10"/>
      <name val="MS Gothic"/>
      <family val="2"/>
      <charset val="128"/>
      <scheme val="minor"/>
    </font>
    <font>
      <u/>
      <sz val="10"/>
      <color theme="10"/>
      <name val="Century Gothic"/>
      <family val="1"/>
      <scheme val="minor"/>
    </font>
    <font>
      <sz val="10"/>
      <color theme="3" tint="9.9978637043366805E-2"/>
      <name val="Century Gothic"/>
      <family val="2"/>
    </font>
    <font>
      <sz val="10"/>
      <color theme="3"/>
      <name val="MS Gothic"/>
      <family val="2"/>
      <charset val="128"/>
    </font>
    <font>
      <sz val="10"/>
      <color theme="3"/>
      <name val="Century Gothic"/>
      <family val="1"/>
    </font>
    <font>
      <b/>
      <sz val="10"/>
      <color theme="3"/>
      <name val="Tsukushi A Round Gothic Bold"/>
      <family val="3"/>
      <charset val="128"/>
    </font>
    <font>
      <sz val="14"/>
      <color theme="4" tint="-0.499984740745262"/>
      <name val="MS Gothic"/>
      <family val="2"/>
      <charset val="128"/>
    </font>
    <font>
      <sz val="14"/>
      <color theme="4" tint="-0.499984740745262"/>
      <name val="Tahoma"/>
      <family val="2"/>
      <scheme val="major"/>
    </font>
    <font>
      <sz val="13"/>
      <color theme="3"/>
      <name val="MS Gothic"/>
      <family val="2"/>
      <charset val="128"/>
    </font>
    <font>
      <sz val="13"/>
      <color theme="3" tint="0.24994659260841701"/>
      <name val="MS Gothic"/>
      <family val="2"/>
      <charset val="128"/>
    </font>
    <font>
      <sz val="13"/>
      <color rgb="FF000000"/>
      <name val="Century Gothic"/>
      <family val="2"/>
      <scheme val="minor"/>
    </font>
    <font>
      <sz val="13"/>
      <color rgb="FF000000"/>
      <name val="MS Gothic"/>
      <family val="1"/>
      <charset val="128"/>
    </font>
    <font>
      <sz val="13"/>
      <color rgb="FF000000"/>
      <name val="Century Gothic"/>
      <family val="1"/>
      <scheme val="minor"/>
    </font>
    <font>
      <sz val="13"/>
      <color theme="3" tint="0.24994659260841701"/>
      <name val="Century Gothic"/>
      <family val="2"/>
      <scheme val="minor"/>
    </font>
    <font>
      <sz val="13"/>
      <color theme="3" tint="0.24994659260841701"/>
      <name val="Century Gothic"/>
      <family val="1"/>
    </font>
    <font>
      <b/>
      <sz val="13"/>
      <color theme="1"/>
      <name val="Tahoma"/>
      <family val="2"/>
    </font>
    <font>
      <b/>
      <sz val="13"/>
      <color theme="1"/>
      <name val="MS Gothic"/>
      <family val="2"/>
      <charset val="128"/>
    </font>
    <font>
      <b/>
      <sz val="13"/>
      <color rgb="FF000000"/>
      <name val="MS Gothic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9.9948118533890809E-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5" tint="0.79998168889431442"/>
        <bgColor theme="2" tint="-9.9948118533890809E-2"/>
      </patternFill>
    </fill>
    <fill>
      <patternFill patternType="solid">
        <fgColor theme="7" tint="0.79998168889431442"/>
        <bgColor theme="2" tint="-9.9948118533890809E-2"/>
      </patternFill>
    </fill>
    <fill>
      <patternFill patternType="solid">
        <fgColor theme="4" tint="0.79998168889431442"/>
        <bgColor theme="2" tint="-9.9948118533890809E-2"/>
      </patternFill>
    </fill>
    <fill>
      <patternFill patternType="solid">
        <fgColor theme="7" tint="0.59999389629810485"/>
        <bgColor theme="2" tint="-9.9948118533890809E-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2" tint="-9.9948118533890809E-2"/>
      </patternFill>
    </fill>
  </fills>
  <borders count="3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4" borderId="0"/>
    <xf numFmtId="0" fontId="5" fillId="3" borderId="0" applyNumberFormat="0" applyBorder="0" applyProtection="0">
      <alignment horizontal="left" vertical="center"/>
    </xf>
    <xf numFmtId="0" fontId="6" fillId="4" borderId="0" applyNumberFormat="0" applyProtection="0">
      <alignment horizontal="left"/>
    </xf>
    <xf numFmtId="0" fontId="4" fillId="4" borderId="1" applyNumberFormat="0" applyAlignment="0" applyProtection="0"/>
    <xf numFmtId="176" fontId="3" fillId="4" borderId="0" applyAlignment="0" applyProtection="0"/>
    <xf numFmtId="0" fontId="1" fillId="0" borderId="0" applyNumberFormat="0" applyFill="0" applyBorder="0" applyAlignment="0" applyProtection="0"/>
    <xf numFmtId="0" fontId="15" fillId="4" borderId="0" applyNumberFormat="0" applyFill="0" applyBorder="0" applyAlignment="0" applyProtection="0"/>
  </cellStyleXfs>
  <cellXfs count="44">
    <xf numFmtId="0" fontId="0" fillId="4" borderId="0" xfId="0"/>
    <xf numFmtId="0" fontId="2" fillId="4" borderId="0" xfId="0" applyFont="1" applyAlignment="1">
      <alignment horizontal="left" vertical="center"/>
    </xf>
    <xf numFmtId="177" fontId="2" fillId="4" borderId="0" xfId="0" applyNumberFormat="1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4" borderId="0" xfId="0" applyAlignment="1">
      <alignment horizontal="left" vertical="center"/>
    </xf>
    <xf numFmtId="9" fontId="0" fillId="4" borderId="0" xfId="0" applyNumberFormat="1" applyAlignment="1">
      <alignment vertical="center"/>
    </xf>
    <xf numFmtId="0" fontId="0" fillId="4" borderId="0" xfId="0" applyAlignment="1">
      <alignment horizontal="left"/>
    </xf>
    <xf numFmtId="177" fontId="0" fillId="4" borderId="0" xfId="0" applyNumberFormat="1" applyAlignment="1">
      <alignment horizontal="left"/>
    </xf>
    <xf numFmtId="14" fontId="0" fillId="4" borderId="0" xfId="0" applyNumberFormat="1" applyAlignment="1">
      <alignment horizontal="left"/>
    </xf>
    <xf numFmtId="0" fontId="6" fillId="4" borderId="0" xfId="2">
      <alignment horizontal="left"/>
    </xf>
    <xf numFmtId="0" fontId="5" fillId="3" borderId="0" xfId="1" applyBorder="1">
      <alignment horizontal="left" vertical="center"/>
    </xf>
    <xf numFmtId="9" fontId="7" fillId="4" borderId="0" xfId="0" applyNumberFormat="1" applyFont="1" applyAlignment="1">
      <alignment horizontal="left" vertical="center"/>
    </xf>
    <xf numFmtId="0" fontId="8" fillId="4" borderId="0" xfId="0" applyFont="1" applyAlignment="1">
      <alignment horizontal="left" vertical="center"/>
    </xf>
    <xf numFmtId="0" fontId="14" fillId="4" borderId="2" xfId="0" applyFont="1" applyBorder="1"/>
    <xf numFmtId="0" fontId="15" fillId="4" borderId="0" xfId="6" applyAlignment="1">
      <alignment horizontal="left" vertical="center"/>
    </xf>
    <xf numFmtId="0" fontId="19" fillId="4" borderId="2" xfId="0" applyFont="1" applyBorder="1"/>
    <xf numFmtId="181" fontId="21" fillId="4" borderId="2" xfId="0" applyNumberFormat="1" applyFont="1" applyBorder="1"/>
    <xf numFmtId="181" fontId="20" fillId="4" borderId="2" xfId="0" applyNumberFormat="1" applyFont="1" applyBorder="1"/>
    <xf numFmtId="181" fontId="18" fillId="4" borderId="2" xfId="0" applyNumberFormat="1" applyFont="1" applyBorder="1"/>
    <xf numFmtId="0" fontId="15" fillId="4" borderId="2" xfId="6" applyBorder="1"/>
    <xf numFmtId="0" fontId="22" fillId="4" borderId="1" xfId="3" applyFont="1" applyAlignment="1"/>
    <xf numFmtId="0" fontId="12" fillId="4" borderId="1" xfId="3" applyFont="1" applyAlignment="1"/>
    <xf numFmtId="0" fontId="11" fillId="4" borderId="1" xfId="3" applyFont="1" applyAlignment="1"/>
    <xf numFmtId="179" fontId="3" fillId="4" borderId="0" xfId="4" applyNumberFormat="1" applyAlignment="1">
      <alignment horizontal="left" vertical="top"/>
    </xf>
    <xf numFmtId="0" fontId="23" fillId="4" borderId="1" xfId="3" applyFont="1" applyAlignment="1"/>
    <xf numFmtId="180" fontId="3" fillId="4" borderId="0" xfId="4" applyNumberFormat="1" applyAlignment="1">
      <alignment horizontal="left" vertical="top"/>
    </xf>
    <xf numFmtId="179" fontId="28" fillId="5" borderId="2" xfId="0" applyNumberFormat="1" applyFont="1" applyFill="1" applyBorder="1" applyAlignment="1">
      <alignment horizontal="left" vertical="center"/>
    </xf>
    <xf numFmtId="179" fontId="28" fillId="6" borderId="2" xfId="0" applyNumberFormat="1" applyFont="1" applyFill="1" applyBorder="1" applyAlignment="1">
      <alignment horizontal="left" vertical="center"/>
    </xf>
    <xf numFmtId="0" fontId="33" fillId="8" borderId="2" xfId="0" applyFont="1" applyFill="1" applyBorder="1" applyAlignment="1">
      <alignment horizontal="left" vertical="center"/>
    </xf>
    <xf numFmtId="0" fontId="33" fillId="7" borderId="2" xfId="0" applyFont="1" applyFill="1" applyBorder="1" applyAlignment="1">
      <alignment horizontal="left" vertical="center"/>
    </xf>
    <xf numFmtId="0" fontId="24" fillId="9" borderId="2" xfId="2" applyFont="1" applyFill="1" applyBorder="1">
      <alignment horizontal="left"/>
    </xf>
    <xf numFmtId="0" fontId="31" fillId="9" borderId="2" xfId="2" applyFont="1" applyFill="1" applyBorder="1">
      <alignment horizontal="left"/>
    </xf>
    <xf numFmtId="0" fontId="33" fillId="10" borderId="2" xfId="0" applyFont="1" applyFill="1" applyBorder="1" applyAlignment="1">
      <alignment horizontal="left" vertical="center"/>
    </xf>
    <xf numFmtId="179" fontId="26" fillId="10" borderId="2" xfId="0" applyNumberFormat="1" applyFont="1" applyFill="1" applyBorder="1" applyAlignment="1">
      <alignment horizontal="left" vertical="center"/>
    </xf>
    <xf numFmtId="179" fontId="28" fillId="10" borderId="2" xfId="0" applyNumberFormat="1" applyFont="1" applyFill="1" applyBorder="1" applyAlignment="1">
      <alignment horizontal="left" vertical="center"/>
    </xf>
    <xf numFmtId="0" fontId="29" fillId="9" borderId="2" xfId="0" applyFont="1" applyFill="1" applyBorder="1" applyAlignment="1">
      <alignment horizontal="left" vertical="center"/>
    </xf>
    <xf numFmtId="0" fontId="27" fillId="9" borderId="2" xfId="0" applyFont="1" applyFill="1" applyBorder="1" applyAlignment="1">
      <alignment horizontal="left" vertical="center"/>
    </xf>
    <xf numFmtId="178" fontId="28" fillId="9" borderId="2" xfId="0" applyNumberFormat="1" applyFont="1" applyFill="1" applyBorder="1" applyAlignment="1">
      <alignment horizontal="left" vertical="center"/>
    </xf>
    <xf numFmtId="179" fontId="28" fillId="9" borderId="2" xfId="0" applyNumberFormat="1" applyFont="1" applyFill="1" applyBorder="1" applyAlignment="1">
      <alignment horizontal="left" vertical="center"/>
    </xf>
    <xf numFmtId="0" fontId="30" fillId="9" borderId="2" xfId="0" applyFont="1" applyFill="1" applyBorder="1" applyAlignment="1">
      <alignment horizontal="left" vertical="center"/>
    </xf>
    <xf numFmtId="14" fontId="29" fillId="9" borderId="2" xfId="0" applyNumberFormat="1" applyFont="1" applyFill="1" applyBorder="1" applyAlignment="1">
      <alignment horizontal="left"/>
    </xf>
    <xf numFmtId="177" fontId="29" fillId="9" borderId="2" xfId="0" applyNumberFormat="1" applyFont="1" applyFill="1" applyBorder="1" applyAlignment="1">
      <alignment horizontal="left"/>
    </xf>
    <xf numFmtId="0" fontId="29" fillId="9" borderId="2" xfId="0" applyFont="1" applyFill="1" applyBorder="1" applyAlignment="1">
      <alignment horizontal="left"/>
    </xf>
    <xf numFmtId="0" fontId="15" fillId="4" borderId="0" xfId="6"/>
  </cellXfs>
  <cellStyles count="7"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6" builtinId="8"/>
    <cellStyle name="Normal" xfId="0" builtinId="0" customBuiltin="1"/>
    <cellStyle name="Title" xfId="1" builtinId="15" customBuiltin="1"/>
  </cellStyles>
  <dxfs count="6">
    <dxf>
      <font>
        <color theme="7"/>
      </font>
    </dxf>
    <dxf>
      <font>
        <color theme="7"/>
      </font>
    </dxf>
    <dxf>
      <font>
        <color theme="7"/>
      </font>
    </dxf>
    <dxf>
      <font>
        <b val="0"/>
        <i val="0"/>
        <color theme="3" tint="0.24994659260841701"/>
      </font>
      <fill>
        <patternFill>
          <bgColor theme="2" tint="-9.9948118533890809E-2"/>
        </patternFill>
      </fill>
      <border>
        <top style="double">
          <color theme="3" tint="9.9948118533890809E-2"/>
        </top>
      </border>
    </dxf>
    <dxf>
      <font>
        <b val="0"/>
        <i val="0"/>
        <color theme="4"/>
      </font>
      <fill>
        <patternFill patternType="solid">
          <fgColor theme="1"/>
          <bgColor theme="2" tint="-9.9948118533890809E-2"/>
        </patternFill>
      </fill>
      <border diagonalUp="0" diagonalDown="0">
        <left/>
        <right/>
        <top/>
        <bottom style="thin">
          <color theme="2" tint="-0.24994659260841701"/>
        </bottom>
        <vertical/>
        <horizontal/>
      </border>
    </dxf>
    <dxf>
      <font>
        <b val="0"/>
        <i val="0"/>
        <color theme="3" tint="0.24994659260841701"/>
      </font>
      <fill>
        <patternFill>
          <bgColor theme="2" tint="-9.9948118533890809E-2"/>
        </patternFill>
      </fill>
      <border diagonalUp="0" diagonalDown="0">
        <left/>
        <right/>
        <top/>
        <bottom/>
        <vertical/>
        <horizontal style="thin">
          <color theme="2" tint="-0.24994659260841701"/>
        </horizontal>
      </border>
    </dxf>
  </dxfs>
  <tableStyles count="1" defaultTableStyle="TableStyleMedium2" defaultPivotStyle="PivotStyleLight16">
    <tableStyle name="Personal budget table" pivot="0" count="3" xr9:uid="{00000000-0011-0000-FFFF-FFFF00000000}">
      <tableStyleElement type="wholeTable" dxfId="5"/>
      <tableStyleElement type="headerRow" dxfId="4"/>
      <tableStyleElement type="total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layout>
        <c:manualLayout>
          <c:xMode val="edge"/>
          <c:yMode val="edge"/>
          <c:x val="0.46541431113529497"/>
          <c:y val="1.54477396581488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>
        <c:manualLayout>
          <c:layoutTarget val="inner"/>
          <c:xMode val="edge"/>
          <c:yMode val="edge"/>
          <c:x val="9.826174169223742E-2"/>
          <c:y val="9.7320759846337576E-2"/>
          <c:w val="0.87538725726798738"/>
          <c:h val="0.80999280220476955"/>
        </c:manualLayout>
      </c:layout>
      <c:lineChart>
        <c:grouping val="standard"/>
        <c:varyColors val="0"/>
        <c:ser>
          <c:idx val="0"/>
          <c:order val="0"/>
          <c:tx>
            <c:strRef>
              <c:f>'3年間概念'!$A$2</c:f>
              <c:strCache>
                <c:ptCount val="1"/>
                <c:pt idx="0">
                  <c:v>資本金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dk1">
                  <a:tint val="88500"/>
                </a:scheme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3.9651277938052391E-2"/>
                  <c:y val="-2.15308672672893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405-3644-930E-E4831112F855}"/>
                </c:ext>
              </c:extLst>
            </c:dLbl>
            <c:dLbl>
              <c:idx val="1"/>
              <c:layout>
                <c:manualLayout>
                  <c:x val="-3.0908171152711824E-2"/>
                  <c:y val="-3.58847787788155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405-3644-930E-E4831112F855}"/>
                </c:ext>
              </c:extLst>
            </c:dLbl>
            <c:dLbl>
              <c:idx val="2"/>
              <c:layout>
                <c:manualLayout>
                  <c:x val="-2.8925607255809206E-2"/>
                  <c:y val="-3.58847787788155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405-3644-930E-E4831112F855}"/>
                </c:ext>
              </c:extLst>
            </c:dLbl>
            <c:dLbl>
              <c:idx val="3"/>
              <c:layout>
                <c:manualLayout>
                  <c:x val="-3.0908171152711824E-2"/>
                  <c:y val="-3.58847787788156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405-3644-930E-E4831112F8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tint val="88500"/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'3年間概念'!$B$1:$E$1</c:f>
              <c:strCache>
                <c:ptCount val="4"/>
                <c:pt idx="0">
                  <c:v>2025年</c:v>
                </c:pt>
                <c:pt idx="1">
                  <c:v>2026年</c:v>
                </c:pt>
                <c:pt idx="2">
                  <c:v>2027年</c:v>
                </c:pt>
                <c:pt idx="3">
                  <c:v>2028年</c:v>
                </c:pt>
              </c:strCache>
            </c:strRef>
          </c:cat>
          <c:val>
            <c:numRef>
              <c:f>'3年間概念'!$B$2:$E$2</c:f>
              <c:numCache>
                <c:formatCode>"¥"#,##0</c:formatCode>
                <c:ptCount val="4"/>
                <c:pt idx="0">
                  <c:v>10000000</c:v>
                </c:pt>
                <c:pt idx="1">
                  <c:v>2089388</c:v>
                </c:pt>
                <c:pt idx="2">
                  <c:v>2691528</c:v>
                </c:pt>
                <c:pt idx="3">
                  <c:v>2691528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05-3644-930E-E4831112F85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848549247"/>
        <c:axId val="1848551487"/>
      </c:lineChart>
      <c:catAx>
        <c:axId val="184854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848551487"/>
        <c:crosses val="autoZero"/>
        <c:auto val="1"/>
        <c:lblAlgn val="ctr"/>
        <c:lblOffset val="100"/>
        <c:noMultiLvlLbl val="0"/>
      </c:catAx>
      <c:valAx>
        <c:axId val="1848551487"/>
        <c:scaling>
          <c:orientation val="minMax"/>
        </c:scaling>
        <c:delete val="0"/>
        <c:axPos val="l"/>
        <c:numFmt formatCode="&quot;¥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848549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tint val="88500"/>
      </a:schemeClr>
    </a:solidFill>
    <a:ln w="9525" cap="flat" cmpd="sng" algn="ctr">
      <a:solidFill>
        <a:schemeClr val="dk1">
          <a:tint val="885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959497168619396"/>
          <c:y val="5.3219911043259988E-2"/>
          <c:w val="0.67371022743361519"/>
          <c:h val="0.78521554440591468"/>
        </c:manualLayout>
      </c:layout>
      <c:barChart>
        <c:barDir val="col"/>
        <c:grouping val="clustered"/>
        <c:varyColors val="0"/>
        <c:ser>
          <c:idx val="0"/>
          <c:order val="0"/>
          <c:tx>
            <c:v>月収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'2026年'!$F$6</c:f>
              <c:numCache>
                <c:formatCode>[$¥-411]#,##0;[$¥-411]#,##0</c:formatCode>
                <c:ptCount val="1"/>
                <c:pt idx="0">
                  <c:v>6941000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8-BF45-9DD9-7F0771549F3D}"/>
            </c:ext>
          </c:extLst>
        </c:ser>
        <c:ser>
          <c:idx val="1"/>
          <c:order val="1"/>
          <c:tx>
            <c:v>支出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'2026年'!$F$9</c:f>
              <c:numCache>
                <c:formatCode>[$¥-411]#,##0;[$¥-411]#,##0</c:formatCode>
                <c:ptCount val="1"/>
                <c:pt idx="0">
                  <c:v>14851612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F8-BF45-9DD9-7F0771549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274295816"/>
        <c:axId val="274296208"/>
      </c:barChart>
      <c:catAx>
        <c:axId val="27429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6208"/>
        <c:crosses val="autoZero"/>
        <c:auto val="1"/>
        <c:lblAlgn val="ctr"/>
        <c:lblOffset val="100"/>
        <c:noMultiLvlLbl val="0"/>
      </c:catAx>
      <c:valAx>
        <c:axId val="274296208"/>
        <c:scaling>
          <c:orientation val="minMax"/>
        </c:scaling>
        <c:delete val="0"/>
        <c:axPos val="l"/>
        <c:numFmt formatCode="[$¥-411]#,##0;[$¥-411]#,##0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163847405400983"/>
          <c:y val="0.8685712881213572"/>
          <c:w val="0.77258841220149943"/>
          <c:h val="6.6542893695824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959497168619396"/>
          <c:y val="5.3219911043259988E-2"/>
          <c:w val="0.67371022743361519"/>
          <c:h val="0.78521554440591468"/>
        </c:manualLayout>
      </c:layout>
      <c:barChart>
        <c:barDir val="col"/>
        <c:grouping val="clustered"/>
        <c:varyColors val="0"/>
        <c:ser>
          <c:idx val="0"/>
          <c:order val="0"/>
          <c:tx>
            <c:v>月収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'2027年'!$F$6</c:f>
              <c:numCache>
                <c:formatCode>[$¥-411]#,##0;[$¥-411]#,##0</c:formatCode>
                <c:ptCount val="1"/>
                <c:pt idx="0">
                  <c:v>7572000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9-CF4F-B3CE-A0E7F8D1ACF1}"/>
            </c:ext>
          </c:extLst>
        </c:ser>
        <c:ser>
          <c:idx val="1"/>
          <c:order val="1"/>
          <c:tx>
            <c:v>支出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'2027年'!$F$9</c:f>
              <c:numCache>
                <c:formatCode>[$¥-411]#,##0;[$¥-411]#,##0</c:formatCode>
                <c:ptCount val="1"/>
                <c:pt idx="0">
                  <c:v>14880472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9-CF4F-B3CE-A0E7F8D1A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274295816"/>
        <c:axId val="274296208"/>
      </c:barChart>
      <c:catAx>
        <c:axId val="27429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6208"/>
        <c:crosses val="autoZero"/>
        <c:auto val="1"/>
        <c:lblAlgn val="ctr"/>
        <c:lblOffset val="100"/>
        <c:noMultiLvlLbl val="0"/>
      </c:catAx>
      <c:valAx>
        <c:axId val="274296208"/>
        <c:scaling>
          <c:orientation val="minMax"/>
        </c:scaling>
        <c:delete val="0"/>
        <c:axPos val="l"/>
        <c:numFmt formatCode="[$¥-411]#,##0;[$¥-411]#,##0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163847405400983"/>
          <c:y val="0.8685712881213572"/>
          <c:w val="0.77258841220149943"/>
          <c:h val="6.6542893695824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959497168619396"/>
          <c:y val="5.3219911043259988E-2"/>
          <c:w val="0.67371022743361519"/>
          <c:h val="0.78521554440591468"/>
        </c:manualLayout>
      </c:layout>
      <c:barChart>
        <c:barDir val="col"/>
        <c:grouping val="clustered"/>
        <c:varyColors val="0"/>
        <c:ser>
          <c:idx val="0"/>
          <c:order val="0"/>
          <c:tx>
            <c:v>月収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'2028年'!$F$6</c:f>
              <c:numCache>
                <c:formatCode>[$¥-411]#,##0;[$¥-411]#,##0</c:formatCode>
                <c:ptCount val="1"/>
                <c:pt idx="0">
                  <c:v>7572000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F-E148-BB1C-B2A75AE869CB}"/>
            </c:ext>
          </c:extLst>
        </c:ser>
        <c:ser>
          <c:idx val="1"/>
          <c:order val="1"/>
          <c:tx>
            <c:v>支出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'2028年'!$F$9</c:f>
              <c:numCache>
                <c:formatCode>[$¥-411]#,##0;[$¥-411]#,##0</c:formatCode>
                <c:ptCount val="1"/>
                <c:pt idx="0">
                  <c:v>14880472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2F-E148-BB1C-B2A75AE86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274295816"/>
        <c:axId val="274296208"/>
      </c:barChart>
      <c:catAx>
        <c:axId val="27429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6208"/>
        <c:crosses val="autoZero"/>
        <c:auto val="1"/>
        <c:lblAlgn val="ctr"/>
        <c:lblOffset val="100"/>
        <c:noMultiLvlLbl val="0"/>
      </c:catAx>
      <c:valAx>
        <c:axId val="274296208"/>
        <c:scaling>
          <c:orientation val="minMax"/>
        </c:scaling>
        <c:delete val="0"/>
        <c:axPos val="l"/>
        <c:numFmt formatCode="[$¥-411]#,##0;[$¥-411]#,##0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163847405400983"/>
          <c:y val="0.8685712881213572"/>
          <c:w val="0.77258841220149943"/>
          <c:h val="6.6542893695824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'3&#24180;&#38291;&#27010;&#24565;'!A1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'3&#24180;&#38291;&#27010;&#24565;'!A1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'3&#24180;&#38291;&#27010;&#24565;'!A1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15306</xdr:colOff>
      <xdr:row>2</xdr:row>
      <xdr:rowOff>70191</xdr:rowOff>
    </xdr:from>
    <xdr:to>
      <xdr:col>15</xdr:col>
      <xdr:colOff>9071</xdr:colOff>
      <xdr:row>24</xdr:row>
      <xdr:rowOff>17009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DEB51B-7643-8F25-4ABA-5122C5817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3</xdr:row>
      <xdr:rowOff>132080</xdr:rowOff>
    </xdr:from>
    <xdr:to>
      <xdr:col>4</xdr:col>
      <xdr:colOff>308265</xdr:colOff>
      <xdr:row>14</xdr:row>
      <xdr:rowOff>404784</xdr:rowOff>
    </xdr:to>
    <xdr:graphicFrame macro="">
      <xdr:nvGraphicFramePr>
        <xdr:cNvPr id="2" name="chtIncomeExpenses" descr="Column bar chart showing income and expenses." title="Income vs. Expenses">
          <a:extLst>
            <a:ext uri="{FF2B5EF4-FFF2-40B4-BE49-F238E27FC236}">
              <a16:creationId xmlns:a16="http://schemas.microsoft.com/office/drawing/2014/main" id="{B5A47A11-9FDE-DB4A-9727-F4CCD5BB91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60960</xdr:colOff>
      <xdr:row>2</xdr:row>
      <xdr:rowOff>40640</xdr:rowOff>
    </xdr:from>
    <xdr:to>
      <xdr:col>1</xdr:col>
      <xdr:colOff>767080</xdr:colOff>
      <xdr:row>3</xdr:row>
      <xdr:rowOff>81280</xdr:rowOff>
    </xdr:to>
    <xdr:sp macro="" textlink="">
      <xdr:nvSpPr>
        <xdr:cNvPr id="3" name="Left Arrow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247B69-7ACA-EE48-8C2E-BAB17DEFE350}"/>
            </a:ext>
          </a:extLst>
        </xdr:cNvPr>
        <xdr:cNvSpPr/>
      </xdr:nvSpPr>
      <xdr:spPr>
        <a:xfrm>
          <a:off x="60960" y="612140"/>
          <a:ext cx="1049020" cy="45974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1440" tIns="45720" rtlCol="0" anchor="t"/>
        <a:lstStyle/>
        <a:p>
          <a:pPr algn="l"/>
          <a:r>
            <a:rPr lang="en-US" altLang="ja-JP" sz="1100"/>
            <a:t>3</a:t>
          </a:r>
          <a:r>
            <a:rPr lang="ja-JP" altLang="en-US" sz="1100"/>
            <a:t>年間概念</a:t>
          </a:r>
          <a:endParaRPr lang="en-US" altLang="ja-JP" sz="1100"/>
        </a:p>
        <a:p>
          <a:pPr algn="l"/>
          <a:endParaRPr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3</xdr:row>
      <xdr:rowOff>132080</xdr:rowOff>
    </xdr:from>
    <xdr:to>
      <xdr:col>4</xdr:col>
      <xdr:colOff>308265</xdr:colOff>
      <xdr:row>14</xdr:row>
      <xdr:rowOff>404784</xdr:rowOff>
    </xdr:to>
    <xdr:graphicFrame macro="">
      <xdr:nvGraphicFramePr>
        <xdr:cNvPr id="2" name="chtIncomeExpenses" descr="Column bar chart showing income and expenses." title="Income vs. Expenses">
          <a:extLst>
            <a:ext uri="{FF2B5EF4-FFF2-40B4-BE49-F238E27FC236}">
              <a16:creationId xmlns:a16="http://schemas.microsoft.com/office/drawing/2014/main" id="{1A819506-7CC2-104F-A5FB-9384334CB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60960</xdr:colOff>
      <xdr:row>2</xdr:row>
      <xdr:rowOff>40640</xdr:rowOff>
    </xdr:from>
    <xdr:to>
      <xdr:col>1</xdr:col>
      <xdr:colOff>767080</xdr:colOff>
      <xdr:row>3</xdr:row>
      <xdr:rowOff>81280</xdr:rowOff>
    </xdr:to>
    <xdr:sp macro="" textlink="">
      <xdr:nvSpPr>
        <xdr:cNvPr id="3" name="Left Arrow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66865A-E506-324D-8F55-45AD9D435053}"/>
            </a:ext>
          </a:extLst>
        </xdr:cNvPr>
        <xdr:cNvSpPr/>
      </xdr:nvSpPr>
      <xdr:spPr>
        <a:xfrm>
          <a:off x="60960" y="612140"/>
          <a:ext cx="1049020" cy="45974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1440" tIns="45720" rtlCol="0" anchor="t"/>
        <a:lstStyle/>
        <a:p>
          <a:pPr algn="l"/>
          <a:r>
            <a:rPr lang="en-US" altLang="ja-JP" sz="1100"/>
            <a:t>3</a:t>
          </a:r>
          <a:r>
            <a:rPr lang="ja-JP" altLang="en-US" sz="1100"/>
            <a:t>年間概念</a:t>
          </a:r>
          <a:endParaRPr lang="en-US" altLang="ja-JP" sz="1100"/>
        </a:p>
        <a:p>
          <a:pPr algn="l"/>
          <a:endParaRPr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3</xdr:row>
      <xdr:rowOff>132080</xdr:rowOff>
    </xdr:from>
    <xdr:to>
      <xdr:col>4</xdr:col>
      <xdr:colOff>308265</xdr:colOff>
      <xdr:row>14</xdr:row>
      <xdr:rowOff>404784</xdr:rowOff>
    </xdr:to>
    <xdr:graphicFrame macro="">
      <xdr:nvGraphicFramePr>
        <xdr:cNvPr id="2" name="chtIncomeExpenses" descr="Column bar chart showing income and expenses." title="Income vs. Expenses">
          <a:extLst>
            <a:ext uri="{FF2B5EF4-FFF2-40B4-BE49-F238E27FC236}">
              <a16:creationId xmlns:a16="http://schemas.microsoft.com/office/drawing/2014/main" id="{04D17233-747C-3743-BDD9-6C58A1E1A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50377</xdr:colOff>
      <xdr:row>2</xdr:row>
      <xdr:rowOff>61807</xdr:rowOff>
    </xdr:from>
    <xdr:to>
      <xdr:col>1</xdr:col>
      <xdr:colOff>756497</xdr:colOff>
      <xdr:row>3</xdr:row>
      <xdr:rowOff>116417</xdr:rowOff>
    </xdr:to>
    <xdr:sp macro="" textlink="">
      <xdr:nvSpPr>
        <xdr:cNvPr id="3" name="Left Arrow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4724BB-C43A-F04F-8B7E-CC8E8AE0D7B9}"/>
            </a:ext>
          </a:extLst>
        </xdr:cNvPr>
        <xdr:cNvSpPr/>
      </xdr:nvSpPr>
      <xdr:spPr>
        <a:xfrm>
          <a:off x="50377" y="633307"/>
          <a:ext cx="1044787" cy="477943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1440" tIns="45720" rtlCol="0" anchor="t"/>
        <a:lstStyle/>
        <a:p>
          <a:pPr algn="l"/>
          <a:r>
            <a:rPr lang="en-US" altLang="ja-JP" sz="1100"/>
            <a:t>3</a:t>
          </a:r>
          <a:r>
            <a:rPr lang="ja-JP" altLang="en-US" sz="1100"/>
            <a:t>年間概念</a:t>
          </a:r>
          <a:endParaRPr lang="en-US" altLang="ja-JP" sz="1100"/>
        </a:p>
        <a:p>
          <a:pPr algn="l"/>
          <a:endParaRPr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Personal budget2">
  <a:themeElements>
    <a:clrScheme name="Personal budget">
      <a:dk1>
        <a:sysClr val="windowText" lastClr="000000"/>
      </a:dk1>
      <a:lt1>
        <a:sysClr val="window" lastClr="FFFFFF"/>
      </a:lt1>
      <a:dk2>
        <a:srgbClr val="2A2A29"/>
      </a:dk2>
      <a:lt2>
        <a:srgbClr val="EEEEEB"/>
      </a:lt2>
      <a:accent1>
        <a:srgbClr val="0592FE"/>
      </a:accent1>
      <a:accent2>
        <a:srgbClr val="69BBFE"/>
      </a:accent2>
      <a:accent3>
        <a:srgbClr val="2EB470"/>
      </a:accent3>
      <a:accent4>
        <a:srgbClr val="F35754"/>
      </a:accent4>
      <a:accent5>
        <a:srgbClr val="B35297"/>
      </a:accent5>
      <a:accent6>
        <a:srgbClr val="FB911F"/>
      </a:accent6>
      <a:hlink>
        <a:srgbClr val="B35297"/>
      </a:hlink>
      <a:folHlink>
        <a:srgbClr val="0591FE"/>
      </a:folHlink>
    </a:clrScheme>
    <a:fontScheme name="Personal budget">
      <a:majorFont>
        <a:latin typeface="Tahoma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0C13-A23B-6347-BF46-0C5573858B96}">
  <dimension ref="A1:E2"/>
  <sheetViews>
    <sheetView zoomScale="140" zoomScaleNormal="140" workbookViewId="0">
      <selection activeCell="E2" sqref="E2"/>
    </sheetView>
  </sheetViews>
  <sheetFormatPr baseColWidth="10" defaultRowHeight="13"/>
  <cols>
    <col min="1" max="1" width="6.1640625" customWidth="1"/>
    <col min="2" max="2" width="14.83203125" customWidth="1"/>
    <col min="3" max="5" width="11.1640625" bestFit="1" customWidth="1"/>
    <col min="6" max="9" width="10.33203125" bestFit="1" customWidth="1"/>
  </cols>
  <sheetData>
    <row r="1" spans="1:5" ht="14">
      <c r="A1" s="15" t="s">
        <v>8</v>
      </c>
      <c r="B1" s="15" t="s">
        <v>35</v>
      </c>
      <c r="C1" s="43" t="s">
        <v>37</v>
      </c>
      <c r="D1" s="19" t="s">
        <v>38</v>
      </c>
      <c r="E1" s="19" t="s">
        <v>39</v>
      </c>
    </row>
    <row r="2" spans="1:5" ht="16">
      <c r="A2" s="13" t="s">
        <v>6</v>
      </c>
      <c r="B2" s="16">
        <v>10000000</v>
      </c>
      <c r="C2" s="17">
        <f>'2026年'!Capital</f>
        <v>2089388</v>
      </c>
      <c r="D2" s="18">
        <f>'2027年'!Capital</f>
        <v>2691528</v>
      </c>
      <c r="E2" s="18">
        <f>'2028年'!Capital</f>
        <v>2691528</v>
      </c>
    </row>
  </sheetData>
  <phoneticPr fontId="9"/>
  <hyperlinks>
    <hyperlink ref="C1" location="'2026年'!A1" display="2026年" xr:uid="{CB338287-8B83-664E-A179-D769F674FA28}"/>
    <hyperlink ref="D1" location="'2027年'!A1" display="2027年" xr:uid="{ACC3FDE7-B846-A647-9B25-3542F5777E01}"/>
    <hyperlink ref="E1" location="'2028年'!A1" display="2028年" xr:uid="{050C7412-BB85-5B4E-98E8-5471EAAD8304}"/>
  </hyperlink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43CBF-2782-044E-97E1-D807468E4609}">
  <sheetPr>
    <tabColor theme="3" tint="0.249977111117893"/>
    <pageSetUpPr fitToPage="1"/>
  </sheetPr>
  <dimension ref="A1:P32"/>
  <sheetViews>
    <sheetView showGridLines="0" tabSelected="1" topLeftCell="A15" zoomScale="120" zoomScaleNormal="120" workbookViewId="0">
      <selection activeCell="C24" sqref="C24"/>
    </sheetView>
  </sheetViews>
  <sheetFormatPr baseColWidth="10" defaultColWidth="9.1640625" defaultRowHeight="27.75" customHeight="1"/>
  <cols>
    <col min="1" max="1" width="4.5" style="6" customWidth="1"/>
    <col min="2" max="2" width="35.6640625" style="6" bestFit="1" customWidth="1"/>
    <col min="3" max="3" width="14.5" style="7" bestFit="1" customWidth="1"/>
    <col min="4" max="5" width="13.1640625" style="6" bestFit="1" customWidth="1"/>
    <col min="6" max="6" width="13.1640625" style="8" bestFit="1" customWidth="1"/>
    <col min="7" max="7" width="13.1640625" style="7" bestFit="1" customWidth="1"/>
    <col min="8" max="8" width="13.1640625" style="6" bestFit="1" customWidth="1"/>
    <col min="9" max="9" width="13.1640625" style="8" bestFit="1" customWidth="1"/>
    <col min="10" max="10" width="13.1640625" style="7" bestFit="1" customWidth="1"/>
    <col min="11" max="14" width="13.1640625" style="6" bestFit="1" customWidth="1"/>
    <col min="15" max="16384" width="9.1640625" style="6"/>
  </cols>
  <sheetData>
    <row r="1" spans="1:16" s="3" customFormat="1" ht="5.25" customHeight="1"/>
    <row r="2" spans="1:16" s="10" customFormat="1" ht="40.5" customHeight="1">
      <c r="B2" s="10" t="s">
        <v>18</v>
      </c>
      <c r="K2" s="10" t="s">
        <v>0</v>
      </c>
    </row>
    <row r="3" spans="1:16" s="4" customFormat="1" ht="33" customHeight="1">
      <c r="B3" s="9"/>
      <c r="F3" s="9"/>
    </row>
    <row r="4" spans="1:16" s="4" customFormat="1" ht="18.75" customHeight="1">
      <c r="B4" s="12"/>
      <c r="E4" s="1"/>
      <c r="F4" s="20" t="s">
        <v>33</v>
      </c>
      <c r="G4" s="24"/>
      <c r="H4" s="20" t="s">
        <v>6</v>
      </c>
      <c r="I4" s="21"/>
      <c r="J4" s="22"/>
      <c r="K4" s="21"/>
    </row>
    <row r="5" spans="1:16" s="4" customFormat="1" ht="3.75" customHeight="1">
      <c r="E5" s="1"/>
      <c r="F5"/>
      <c r="G5"/>
      <c r="H5"/>
      <c r="I5"/>
      <c r="J5"/>
      <c r="K5"/>
    </row>
    <row r="6" spans="1:16" s="4" customFormat="1" ht="46.5" customHeight="1">
      <c r="E6" s="1"/>
      <c r="F6" s="23">
        <f>SUM(C32:N32)</f>
        <v>6941000</v>
      </c>
      <c r="G6" s="23"/>
      <c r="H6" s="23">
        <f>10000000+TotalMonthlyIncome-TotalMonthlyExpenses</f>
        <v>2089388</v>
      </c>
      <c r="I6" s="23"/>
      <c r="J6" s="23"/>
      <c r="K6" s="23"/>
    </row>
    <row r="7" spans="1:16" s="4" customFormat="1" ht="18.75" customHeight="1">
      <c r="F7" s="20" t="s">
        <v>34</v>
      </c>
      <c r="G7" s="22"/>
      <c r="I7" s="1"/>
      <c r="J7" s="2"/>
    </row>
    <row r="8" spans="1:16" s="4" customFormat="1" ht="3.75" customHeight="1">
      <c r="F8"/>
      <c r="G8"/>
      <c r="I8" s="1"/>
      <c r="J8" s="2"/>
    </row>
    <row r="9" spans="1:16" s="4" customFormat="1" ht="46.5" customHeight="1">
      <c r="E9" s="5"/>
      <c r="F9" s="23">
        <f>SUM(C29:N29)</f>
        <v>14851612</v>
      </c>
      <c r="G9" s="23"/>
      <c r="I9" s="14"/>
    </row>
    <row r="10" spans="1:16" s="4" customFormat="1" ht="18.75" customHeight="1">
      <c r="A10" s="5"/>
      <c r="E10" s="5"/>
      <c r="F10" s="20" t="s">
        <v>2</v>
      </c>
      <c r="G10" s="22"/>
    </row>
    <row r="11" spans="1:16" s="4" customFormat="1" ht="3.75" customHeight="1">
      <c r="A11" s="5"/>
      <c r="E11" s="5"/>
      <c r="F11"/>
      <c r="G11"/>
    </row>
    <row r="12" spans="1:16" s="4" customFormat="1" ht="46.5" customHeight="1">
      <c r="A12" s="5"/>
      <c r="E12" s="5"/>
      <c r="F12" s="25">
        <f>Capital</f>
        <v>2089388</v>
      </c>
      <c r="G12" s="25"/>
    </row>
    <row r="13" spans="1:16" s="4" customFormat="1" ht="18.75" customHeight="1">
      <c r="A13" s="5"/>
      <c r="E13" s="5"/>
      <c r="F13" s="20"/>
      <c r="G13" s="20"/>
    </row>
    <row r="14" spans="1:16" s="4" customFormat="1" ht="3.75" customHeight="1">
      <c r="A14" s="5"/>
      <c r="E14" s="5"/>
      <c r="F14"/>
      <c r="G14"/>
    </row>
    <row r="15" spans="1:16" s="4" customFormat="1" ht="46.5" customHeight="1">
      <c r="A15" s="5"/>
      <c r="E15" s="5"/>
      <c r="F15" s="23"/>
      <c r="G15" s="23"/>
    </row>
    <row r="16" spans="1:16" s="4" customFormat="1" ht="31.5" customHeight="1">
      <c r="B16" s="30"/>
      <c r="C16" s="31" t="s">
        <v>36</v>
      </c>
      <c r="D16" s="31" t="s">
        <v>22</v>
      </c>
      <c r="E16" s="31" t="s">
        <v>23</v>
      </c>
      <c r="F16" s="31" t="s">
        <v>24</v>
      </c>
      <c r="G16" s="31" t="s">
        <v>25</v>
      </c>
      <c r="H16" s="31" t="s">
        <v>26</v>
      </c>
      <c r="I16" s="31" t="s">
        <v>27</v>
      </c>
      <c r="J16" s="31" t="s">
        <v>28</v>
      </c>
      <c r="K16" s="31" t="s">
        <v>29</v>
      </c>
      <c r="L16" s="31" t="s">
        <v>30</v>
      </c>
      <c r="M16" s="31" t="s">
        <v>31</v>
      </c>
      <c r="N16" s="31" t="s">
        <v>32</v>
      </c>
      <c r="O16" s="6"/>
      <c r="P16" s="6"/>
    </row>
    <row r="17" spans="1:16" s="4" customFormat="1" ht="18.75" customHeight="1">
      <c r="B17" s="32" t="s">
        <v>9</v>
      </c>
      <c r="C17" s="33">
        <v>1000000</v>
      </c>
      <c r="D17" s="33">
        <v>1000000</v>
      </c>
      <c r="E17" s="33">
        <v>1000000</v>
      </c>
      <c r="F17" s="33">
        <v>1000000</v>
      </c>
      <c r="G17" s="33">
        <v>1000000</v>
      </c>
      <c r="H17" s="33">
        <v>1000000</v>
      </c>
      <c r="I17" s="33">
        <v>1000000</v>
      </c>
      <c r="J17" s="33">
        <v>1000000</v>
      </c>
      <c r="K17" s="33">
        <v>1000000</v>
      </c>
      <c r="L17" s="33">
        <v>1000000</v>
      </c>
      <c r="M17" s="33">
        <v>1000000</v>
      </c>
      <c r="N17" s="33">
        <v>1000000</v>
      </c>
      <c r="O17" s="6"/>
      <c r="P17" s="6"/>
    </row>
    <row r="18" spans="1:16" ht="28" customHeight="1">
      <c r="A18" s="4"/>
      <c r="B18" s="32" t="s">
        <v>3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</row>
    <row r="19" spans="1:16" ht="28" customHeight="1">
      <c r="A19" s="4"/>
      <c r="B19" s="32" t="s">
        <v>4</v>
      </c>
      <c r="C19" s="33">
        <v>800000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</row>
    <row r="20" spans="1:16" ht="28" customHeight="1">
      <c r="A20" s="4"/>
      <c r="B20" s="32" t="s">
        <v>5</v>
      </c>
      <c r="C20" s="34">
        <v>801</v>
      </c>
      <c r="D20" s="34">
        <v>801</v>
      </c>
      <c r="E20" s="34">
        <v>801</v>
      </c>
      <c r="F20" s="34">
        <v>801</v>
      </c>
      <c r="G20" s="34">
        <v>801</v>
      </c>
      <c r="H20" s="34">
        <v>801</v>
      </c>
      <c r="I20" s="34">
        <v>801</v>
      </c>
      <c r="J20" s="34">
        <v>801</v>
      </c>
      <c r="K20" s="34">
        <v>801</v>
      </c>
      <c r="L20" s="34">
        <v>801</v>
      </c>
      <c r="M20" s="34">
        <v>801</v>
      </c>
      <c r="N20" s="34">
        <v>801</v>
      </c>
    </row>
    <row r="21" spans="1:16" ht="28" customHeight="1">
      <c r="A21" s="4"/>
      <c r="B21" s="32" t="s">
        <v>20</v>
      </c>
      <c r="C21" s="34">
        <v>2000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</row>
    <row r="22" spans="1:16" ht="28" customHeight="1">
      <c r="A22" s="4"/>
      <c r="B22" s="32" t="s">
        <v>7</v>
      </c>
      <c r="C22" s="34">
        <v>70000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</row>
    <row r="23" spans="1:16" ht="28" customHeight="1">
      <c r="A23" s="4"/>
      <c r="B23" s="32" t="s">
        <v>13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</row>
    <row r="24" spans="1:16" ht="28" customHeight="1">
      <c r="A24" s="4"/>
      <c r="B24" s="32" t="s">
        <v>14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</row>
    <row r="25" spans="1:16" ht="28" customHeight="1">
      <c r="A25" s="4"/>
      <c r="B25" s="32" t="s">
        <v>15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spans="1:16" ht="28" customHeight="1">
      <c r="A26" s="4"/>
      <c r="B26" s="32" t="s">
        <v>16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</row>
    <row r="27" spans="1:16" ht="28" customHeight="1">
      <c r="A27" s="4"/>
      <c r="B27" s="32" t="s">
        <v>19</v>
      </c>
      <c r="C27" s="34">
        <v>50000</v>
      </c>
      <c r="D27" s="35"/>
      <c r="E27" s="36"/>
      <c r="F27" s="37"/>
      <c r="G27" s="38"/>
      <c r="H27" s="39"/>
      <c r="I27" s="40"/>
      <c r="J27" s="41"/>
      <c r="K27" s="35"/>
      <c r="L27" s="42"/>
      <c r="M27" s="42"/>
      <c r="N27" s="42"/>
    </row>
    <row r="28" spans="1:16" ht="28" customHeight="1">
      <c r="A28" s="4"/>
      <c r="B28" s="32" t="s">
        <v>17</v>
      </c>
      <c r="C28" s="34">
        <v>160000</v>
      </c>
      <c r="D28" s="34">
        <v>160000</v>
      </c>
      <c r="E28" s="34">
        <v>160000</v>
      </c>
      <c r="F28" s="34">
        <v>160000</v>
      </c>
      <c r="G28" s="34">
        <v>160000</v>
      </c>
      <c r="H28" s="34">
        <v>160000</v>
      </c>
      <c r="I28" s="34">
        <v>160000</v>
      </c>
      <c r="J28" s="34">
        <v>160000</v>
      </c>
      <c r="K28" s="34">
        <v>160000</v>
      </c>
      <c r="L28" s="34">
        <v>160000</v>
      </c>
      <c r="M28" s="34">
        <v>160000</v>
      </c>
      <c r="N28" s="34">
        <v>160000</v>
      </c>
    </row>
    <row r="29" spans="1:16" ht="28" customHeight="1">
      <c r="A29" s="4"/>
      <c r="B29" s="28" t="s">
        <v>21</v>
      </c>
      <c r="C29" s="27">
        <f>SUM(C17:C28)</f>
        <v>2082801</v>
      </c>
      <c r="D29" s="27">
        <f t="shared" ref="D29:N29" si="0">SUM(D17:D28)</f>
        <v>1160801</v>
      </c>
      <c r="E29" s="27">
        <f t="shared" si="0"/>
        <v>1160801</v>
      </c>
      <c r="F29" s="27">
        <f t="shared" si="0"/>
        <v>1160801</v>
      </c>
      <c r="G29" s="27">
        <f t="shared" si="0"/>
        <v>1160801</v>
      </c>
      <c r="H29" s="27">
        <f t="shared" si="0"/>
        <v>1160801</v>
      </c>
      <c r="I29" s="27">
        <f t="shared" si="0"/>
        <v>1160801</v>
      </c>
      <c r="J29" s="27">
        <f t="shared" si="0"/>
        <v>1160801</v>
      </c>
      <c r="K29" s="27">
        <f t="shared" si="0"/>
        <v>1160801</v>
      </c>
      <c r="L29" s="27">
        <f t="shared" si="0"/>
        <v>1160801</v>
      </c>
      <c r="M29" s="27">
        <f t="shared" si="0"/>
        <v>1160801</v>
      </c>
      <c r="N29" s="27">
        <f t="shared" si="0"/>
        <v>1160801</v>
      </c>
    </row>
    <row r="30" spans="1:16" ht="28" customHeight="1">
      <c r="A30" s="4"/>
      <c r="B30" s="32" t="s">
        <v>10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</row>
    <row r="31" spans="1:16" ht="27.75" customHeight="1">
      <c r="B31" s="32" t="s">
        <v>11</v>
      </c>
      <c r="C31" s="34"/>
      <c r="D31" s="34">
        <v>631000</v>
      </c>
      <c r="E31" s="34">
        <v>631000</v>
      </c>
      <c r="F31" s="34">
        <v>631000</v>
      </c>
      <c r="G31" s="34">
        <v>631000</v>
      </c>
      <c r="H31" s="34">
        <v>631000</v>
      </c>
      <c r="I31" s="34">
        <v>631000</v>
      </c>
      <c r="J31" s="34">
        <v>631000</v>
      </c>
      <c r="K31" s="34">
        <v>631000</v>
      </c>
      <c r="L31" s="34">
        <v>631000</v>
      </c>
      <c r="M31" s="34">
        <v>631000</v>
      </c>
      <c r="N31" s="34">
        <v>631000</v>
      </c>
    </row>
    <row r="32" spans="1:16" ht="27.75" customHeight="1">
      <c r="B32" s="29" t="s">
        <v>12</v>
      </c>
      <c r="C32" s="26">
        <f>SUM(C30:C31)</f>
        <v>0</v>
      </c>
      <c r="D32" s="26">
        <f t="shared" ref="D32:N32" si="1">SUM(D30:D31)</f>
        <v>631000</v>
      </c>
      <c r="E32" s="26">
        <f t="shared" si="1"/>
        <v>631000</v>
      </c>
      <c r="F32" s="26">
        <f t="shared" si="1"/>
        <v>631000</v>
      </c>
      <c r="G32" s="26">
        <f t="shared" si="1"/>
        <v>631000</v>
      </c>
      <c r="H32" s="26">
        <f t="shared" si="1"/>
        <v>631000</v>
      </c>
      <c r="I32" s="26">
        <f t="shared" si="1"/>
        <v>631000</v>
      </c>
      <c r="J32" s="26">
        <f t="shared" si="1"/>
        <v>631000</v>
      </c>
      <c r="K32" s="26">
        <f>SUM(K30:K31)</f>
        <v>631000</v>
      </c>
      <c r="L32" s="26">
        <f t="shared" si="1"/>
        <v>631000</v>
      </c>
      <c r="M32" s="26">
        <f t="shared" si="1"/>
        <v>631000</v>
      </c>
      <c r="N32" s="26">
        <f t="shared" si="1"/>
        <v>631000</v>
      </c>
    </row>
  </sheetData>
  <mergeCells count="11">
    <mergeCell ref="F9:G9"/>
    <mergeCell ref="F10:G10"/>
    <mergeCell ref="F12:G12"/>
    <mergeCell ref="F13:G13"/>
    <mergeCell ref="F15:G15"/>
    <mergeCell ref="F4:G4"/>
    <mergeCell ref="H4:I4"/>
    <mergeCell ref="J4:K4"/>
    <mergeCell ref="F6:G6"/>
    <mergeCell ref="H6:K6"/>
    <mergeCell ref="F7:G7"/>
  </mergeCells>
  <phoneticPr fontId="9"/>
  <printOptions horizontalCentered="1"/>
  <pageMargins left="0.4" right="0.4" top="0.4" bottom="0.4" header="0.25" footer="0.25"/>
  <pageSetup scale="71" fitToHeight="0" orientation="portrait" r:id="rId1"/>
  <headerFooter differentFirst="1">
    <oddFooter>&amp;CPage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10FF71D-2226-4844-86F9-3815D1CA7EA2}">
            <xm:f>'Chart Data'!$B$6</xm:f>
            <x14:dxf>
              <font>
                <color theme="7"/>
              </font>
            </x14:dxf>
          </x14:cfRule>
          <xm:sqref>F15:G15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D39EB-F9AA-0B41-93FE-F6E1AD5192C5}">
  <sheetPr>
    <tabColor theme="3" tint="0.249977111117893"/>
    <pageSetUpPr fitToPage="1"/>
  </sheetPr>
  <dimension ref="A1:P32"/>
  <sheetViews>
    <sheetView showGridLines="0" topLeftCell="A15" zoomScale="120" zoomScaleNormal="120" workbookViewId="0">
      <selection activeCell="D22" sqref="D22"/>
    </sheetView>
  </sheetViews>
  <sheetFormatPr baseColWidth="10" defaultColWidth="9.1640625" defaultRowHeight="27.75" customHeight="1"/>
  <cols>
    <col min="1" max="1" width="4.5" style="6" customWidth="1"/>
    <col min="2" max="2" width="35.6640625" style="6" bestFit="1" customWidth="1"/>
    <col min="3" max="3" width="14.5" style="7" bestFit="1" customWidth="1"/>
    <col min="4" max="5" width="13.1640625" style="6" bestFit="1" customWidth="1"/>
    <col min="6" max="6" width="13.1640625" style="8" bestFit="1" customWidth="1"/>
    <col min="7" max="7" width="13.1640625" style="7" bestFit="1" customWidth="1"/>
    <col min="8" max="8" width="13.1640625" style="6" bestFit="1" customWidth="1"/>
    <col min="9" max="9" width="13.1640625" style="8" bestFit="1" customWidth="1"/>
    <col min="10" max="10" width="13.1640625" style="7" bestFit="1" customWidth="1"/>
    <col min="11" max="14" width="13.1640625" style="6" bestFit="1" customWidth="1"/>
    <col min="15" max="16384" width="9.1640625" style="6"/>
  </cols>
  <sheetData>
    <row r="1" spans="1:16" s="3" customFormat="1" ht="5.25" customHeight="1"/>
    <row r="2" spans="1:16" s="10" customFormat="1" ht="40.5" customHeight="1">
      <c r="B2" s="10" t="s">
        <v>18</v>
      </c>
      <c r="K2" s="10" t="s">
        <v>0</v>
      </c>
    </row>
    <row r="3" spans="1:16" s="4" customFormat="1" ht="33" customHeight="1">
      <c r="B3" s="9"/>
      <c r="F3" s="9"/>
    </row>
    <row r="4" spans="1:16" s="4" customFormat="1" ht="18.75" customHeight="1">
      <c r="B4" s="12"/>
      <c r="E4" s="1"/>
      <c r="F4" s="20" t="s">
        <v>33</v>
      </c>
      <c r="G4" s="24"/>
      <c r="H4" s="20" t="s">
        <v>6</v>
      </c>
      <c r="I4" s="21"/>
      <c r="J4" s="22"/>
      <c r="K4" s="21"/>
    </row>
    <row r="5" spans="1:16" s="4" customFormat="1" ht="3.75" customHeight="1">
      <c r="E5" s="1"/>
      <c r="F5"/>
      <c r="G5"/>
      <c r="H5"/>
      <c r="I5"/>
      <c r="J5"/>
      <c r="K5"/>
    </row>
    <row r="6" spans="1:16" s="4" customFormat="1" ht="46.5" customHeight="1">
      <c r="E6" s="1"/>
      <c r="F6" s="23">
        <f>SUM(C32:N32)</f>
        <v>7572000</v>
      </c>
      <c r="G6" s="23"/>
      <c r="H6" s="23">
        <f>10000000+TotalMonthlyIncome-TotalMonthlyExpenses</f>
        <v>2691528</v>
      </c>
      <c r="I6" s="23"/>
      <c r="J6" s="23"/>
      <c r="K6" s="23"/>
    </row>
    <row r="7" spans="1:16" s="4" customFormat="1" ht="18.75" customHeight="1">
      <c r="F7" s="20" t="s">
        <v>34</v>
      </c>
      <c r="G7" s="22"/>
      <c r="I7" s="1"/>
      <c r="J7" s="2"/>
    </row>
    <row r="8" spans="1:16" s="4" customFormat="1" ht="3.75" customHeight="1">
      <c r="F8"/>
      <c r="G8"/>
      <c r="I8" s="1"/>
      <c r="J8" s="2"/>
    </row>
    <row r="9" spans="1:16" s="4" customFormat="1" ht="46.5" customHeight="1">
      <c r="E9" s="5"/>
      <c r="F9" s="23">
        <f>SUM(C29:N29)</f>
        <v>14880472</v>
      </c>
      <c r="G9" s="23"/>
      <c r="I9" s="14"/>
    </row>
    <row r="10" spans="1:16" s="4" customFormat="1" ht="18.75" customHeight="1">
      <c r="A10" s="5"/>
      <c r="E10" s="5"/>
      <c r="F10" s="20" t="s">
        <v>2</v>
      </c>
      <c r="G10" s="22"/>
    </row>
    <row r="11" spans="1:16" s="4" customFormat="1" ht="3.75" customHeight="1">
      <c r="A11" s="5"/>
      <c r="E11" s="5"/>
      <c r="F11"/>
      <c r="G11"/>
    </row>
    <row r="12" spans="1:16" s="4" customFormat="1" ht="46.5" customHeight="1">
      <c r="A12" s="5"/>
      <c r="E12" s="5"/>
      <c r="F12" s="25">
        <f>Capital</f>
        <v>2691528</v>
      </c>
      <c r="G12" s="25"/>
    </row>
    <row r="13" spans="1:16" s="4" customFormat="1" ht="18.75" customHeight="1">
      <c r="A13" s="5"/>
      <c r="E13" s="5"/>
      <c r="F13" s="20"/>
      <c r="G13" s="20"/>
    </row>
    <row r="14" spans="1:16" s="4" customFormat="1" ht="3.75" customHeight="1">
      <c r="A14" s="5"/>
      <c r="E14" s="5"/>
      <c r="F14"/>
      <c r="G14"/>
    </row>
    <row r="15" spans="1:16" s="4" customFormat="1" ht="46.5" customHeight="1">
      <c r="A15" s="5"/>
      <c r="E15" s="5"/>
      <c r="F15" s="23"/>
      <c r="G15" s="23"/>
    </row>
    <row r="16" spans="1:16" s="4" customFormat="1" ht="31.5" customHeight="1">
      <c r="B16" s="30"/>
      <c r="C16" s="31" t="s">
        <v>36</v>
      </c>
      <c r="D16" s="31" t="s">
        <v>22</v>
      </c>
      <c r="E16" s="31" t="s">
        <v>23</v>
      </c>
      <c r="F16" s="31" t="s">
        <v>24</v>
      </c>
      <c r="G16" s="31" t="s">
        <v>25</v>
      </c>
      <c r="H16" s="31" t="s">
        <v>26</v>
      </c>
      <c r="I16" s="31" t="s">
        <v>27</v>
      </c>
      <c r="J16" s="31" t="s">
        <v>28</v>
      </c>
      <c r="K16" s="31" t="s">
        <v>29</v>
      </c>
      <c r="L16" s="31" t="s">
        <v>30</v>
      </c>
      <c r="M16" s="31" t="s">
        <v>31</v>
      </c>
      <c r="N16" s="31" t="s">
        <v>32</v>
      </c>
      <c r="O16" s="6"/>
      <c r="P16" s="6"/>
    </row>
    <row r="17" spans="1:16" s="4" customFormat="1" ht="18.75" customHeight="1">
      <c r="B17" s="32" t="s">
        <v>9</v>
      </c>
      <c r="C17" s="33">
        <v>1000000</v>
      </c>
      <c r="D17" s="33">
        <v>1000000</v>
      </c>
      <c r="E17" s="33">
        <v>1000000</v>
      </c>
      <c r="F17" s="33">
        <v>1000000</v>
      </c>
      <c r="G17" s="33">
        <v>1000000</v>
      </c>
      <c r="H17" s="33">
        <v>1000000</v>
      </c>
      <c r="I17" s="33">
        <v>1000000</v>
      </c>
      <c r="J17" s="33">
        <v>1000000</v>
      </c>
      <c r="K17" s="33">
        <v>1000000</v>
      </c>
      <c r="L17" s="33">
        <v>1000000</v>
      </c>
      <c r="M17" s="33">
        <v>1000000</v>
      </c>
      <c r="N17" s="33">
        <v>1000000</v>
      </c>
      <c r="O17" s="6"/>
      <c r="P17" s="6"/>
    </row>
    <row r="18" spans="1:16" ht="28" customHeight="1">
      <c r="A18" s="4"/>
      <c r="B18" s="32" t="s">
        <v>3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</row>
    <row r="19" spans="1:16" ht="28" customHeight="1">
      <c r="A19" s="4"/>
      <c r="B19" s="32" t="s">
        <v>4</v>
      </c>
      <c r="C19" s="33">
        <v>800000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</row>
    <row r="20" spans="1:16" ht="28" customHeight="1">
      <c r="A20" s="4"/>
      <c r="B20" s="32" t="s">
        <v>5</v>
      </c>
      <c r="C20" s="34">
        <v>3206</v>
      </c>
      <c r="D20" s="34">
        <v>3206</v>
      </c>
      <c r="E20" s="34">
        <v>3206</v>
      </c>
      <c r="F20" s="34">
        <v>3206</v>
      </c>
      <c r="G20" s="34">
        <v>3206</v>
      </c>
      <c r="H20" s="34">
        <v>3206</v>
      </c>
      <c r="I20" s="34">
        <v>3206</v>
      </c>
      <c r="J20" s="34">
        <v>3206</v>
      </c>
      <c r="K20" s="34">
        <v>3206</v>
      </c>
      <c r="L20" s="34">
        <v>3206</v>
      </c>
      <c r="M20" s="34">
        <v>3206</v>
      </c>
      <c r="N20" s="34">
        <v>3206</v>
      </c>
    </row>
    <row r="21" spans="1:16" ht="28" customHeight="1">
      <c r="A21" s="4"/>
      <c r="B21" s="32" t="s">
        <v>20</v>
      </c>
      <c r="C21" s="34">
        <v>2000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</row>
    <row r="22" spans="1:16" ht="28" customHeight="1">
      <c r="A22" s="4"/>
      <c r="B22" s="32" t="s">
        <v>7</v>
      </c>
      <c r="C22" s="34">
        <v>70000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</row>
    <row r="23" spans="1:16" ht="28" customHeight="1">
      <c r="A23" s="4"/>
      <c r="B23" s="32" t="s">
        <v>13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</row>
    <row r="24" spans="1:16" ht="28" customHeight="1">
      <c r="A24" s="4"/>
      <c r="B24" s="32" t="s">
        <v>14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</row>
    <row r="25" spans="1:16" ht="28" customHeight="1">
      <c r="A25" s="4"/>
      <c r="B25" s="32" t="s">
        <v>15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spans="1:16" ht="28" customHeight="1">
      <c r="A26" s="4"/>
      <c r="B26" s="32" t="s">
        <v>16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</row>
    <row r="27" spans="1:16" ht="28" customHeight="1">
      <c r="A27" s="4"/>
      <c r="B27" s="32" t="s">
        <v>19</v>
      </c>
      <c r="C27" s="34">
        <v>50000</v>
      </c>
      <c r="D27" s="35"/>
      <c r="E27" s="36"/>
      <c r="F27" s="37"/>
      <c r="G27" s="38"/>
      <c r="H27" s="39"/>
      <c r="I27" s="40"/>
      <c r="J27" s="41"/>
      <c r="K27" s="35"/>
      <c r="L27" s="42"/>
      <c r="M27" s="42"/>
      <c r="N27" s="42"/>
    </row>
    <row r="28" spans="1:16" ht="28" customHeight="1">
      <c r="A28" s="4"/>
      <c r="B28" s="32" t="s">
        <v>17</v>
      </c>
      <c r="C28" s="34">
        <v>160000</v>
      </c>
      <c r="D28" s="34">
        <v>160000</v>
      </c>
      <c r="E28" s="34">
        <v>160000</v>
      </c>
      <c r="F28" s="34">
        <v>160000</v>
      </c>
      <c r="G28" s="34">
        <v>160000</v>
      </c>
      <c r="H28" s="34">
        <v>160000</v>
      </c>
      <c r="I28" s="34">
        <v>160000</v>
      </c>
      <c r="J28" s="34">
        <v>160000</v>
      </c>
      <c r="K28" s="34">
        <v>160000</v>
      </c>
      <c r="L28" s="34">
        <v>160000</v>
      </c>
      <c r="M28" s="34">
        <v>160000</v>
      </c>
      <c r="N28" s="34">
        <v>160000</v>
      </c>
    </row>
    <row r="29" spans="1:16" ht="28" customHeight="1">
      <c r="A29" s="4"/>
      <c r="B29" s="28" t="s">
        <v>21</v>
      </c>
      <c r="C29" s="27">
        <f>SUM(C17:C28)</f>
        <v>2085206</v>
      </c>
      <c r="D29" s="27">
        <f t="shared" ref="D29:N29" si="0">SUM(D17:D28)</f>
        <v>1163206</v>
      </c>
      <c r="E29" s="27">
        <f t="shared" si="0"/>
        <v>1163206</v>
      </c>
      <c r="F29" s="27">
        <f t="shared" si="0"/>
        <v>1163206</v>
      </c>
      <c r="G29" s="27">
        <f t="shared" si="0"/>
        <v>1163206</v>
      </c>
      <c r="H29" s="27">
        <f t="shared" si="0"/>
        <v>1163206</v>
      </c>
      <c r="I29" s="27">
        <f t="shared" si="0"/>
        <v>1163206</v>
      </c>
      <c r="J29" s="27">
        <f t="shared" si="0"/>
        <v>1163206</v>
      </c>
      <c r="K29" s="27">
        <f t="shared" si="0"/>
        <v>1163206</v>
      </c>
      <c r="L29" s="27">
        <f t="shared" si="0"/>
        <v>1163206</v>
      </c>
      <c r="M29" s="27">
        <f t="shared" si="0"/>
        <v>1163206</v>
      </c>
      <c r="N29" s="27">
        <f t="shared" si="0"/>
        <v>1163206</v>
      </c>
    </row>
    <row r="30" spans="1:16" ht="28" customHeight="1">
      <c r="A30" s="4"/>
      <c r="B30" s="32" t="s">
        <v>10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</row>
    <row r="31" spans="1:16" ht="27.75" customHeight="1">
      <c r="B31" s="32" t="s">
        <v>11</v>
      </c>
      <c r="C31" s="34">
        <v>631000</v>
      </c>
      <c r="D31" s="34">
        <v>631000</v>
      </c>
      <c r="E31" s="34">
        <v>631000</v>
      </c>
      <c r="F31" s="34">
        <v>631000</v>
      </c>
      <c r="G31" s="34">
        <v>631000</v>
      </c>
      <c r="H31" s="34">
        <v>631000</v>
      </c>
      <c r="I31" s="34">
        <v>631000</v>
      </c>
      <c r="J31" s="34">
        <v>631000</v>
      </c>
      <c r="K31" s="34">
        <v>631000</v>
      </c>
      <c r="L31" s="34">
        <v>631000</v>
      </c>
      <c r="M31" s="34">
        <v>631000</v>
      </c>
      <c r="N31" s="34">
        <v>631000</v>
      </c>
    </row>
    <row r="32" spans="1:16" ht="27.75" customHeight="1">
      <c r="B32" s="29" t="s">
        <v>12</v>
      </c>
      <c r="C32" s="26">
        <f>SUM(C30:C31)</f>
        <v>631000</v>
      </c>
      <c r="D32" s="26">
        <f t="shared" ref="D32:N32" si="1">SUM(D30:D31)</f>
        <v>631000</v>
      </c>
      <c r="E32" s="26">
        <f t="shared" si="1"/>
        <v>631000</v>
      </c>
      <c r="F32" s="26">
        <f t="shared" si="1"/>
        <v>631000</v>
      </c>
      <c r="G32" s="26">
        <f t="shared" si="1"/>
        <v>631000</v>
      </c>
      <c r="H32" s="26">
        <f t="shared" si="1"/>
        <v>631000</v>
      </c>
      <c r="I32" s="26">
        <f t="shared" si="1"/>
        <v>631000</v>
      </c>
      <c r="J32" s="26">
        <f t="shared" si="1"/>
        <v>631000</v>
      </c>
      <c r="K32" s="26">
        <f t="shared" si="1"/>
        <v>631000</v>
      </c>
      <c r="L32" s="26">
        <f t="shared" si="1"/>
        <v>631000</v>
      </c>
      <c r="M32" s="26">
        <f t="shared" si="1"/>
        <v>631000</v>
      </c>
      <c r="N32" s="26">
        <f t="shared" si="1"/>
        <v>631000</v>
      </c>
    </row>
  </sheetData>
  <mergeCells count="11">
    <mergeCell ref="F9:G9"/>
    <mergeCell ref="F10:G10"/>
    <mergeCell ref="F12:G12"/>
    <mergeCell ref="F13:G13"/>
    <mergeCell ref="F15:G15"/>
    <mergeCell ref="F4:G4"/>
    <mergeCell ref="H4:I4"/>
    <mergeCell ref="J4:K4"/>
    <mergeCell ref="F6:G6"/>
    <mergeCell ref="H6:K6"/>
    <mergeCell ref="F7:G7"/>
  </mergeCells>
  <phoneticPr fontId="9"/>
  <printOptions horizontalCentered="1"/>
  <pageMargins left="0.4" right="0.4" top="0.4" bottom="0.4" header="0.25" footer="0.25"/>
  <pageSetup scale="71" fitToHeight="0" orientation="portrait" r:id="rId1"/>
  <headerFooter differentFirst="1">
    <oddFooter>&amp;CPage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8C586CD-7742-CA4C-8E56-612C1823AE65}">
            <xm:f>'Chart Data'!$B$6</xm:f>
            <x14:dxf>
              <font>
                <color theme="7"/>
              </font>
            </x14:dxf>
          </x14:cfRule>
          <xm:sqref>F15:G15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9A9D0-4D42-444C-AAAB-C7126E66942A}">
  <sheetPr>
    <tabColor theme="3" tint="0.249977111117893"/>
    <pageSetUpPr fitToPage="1"/>
  </sheetPr>
  <dimension ref="A1:P32"/>
  <sheetViews>
    <sheetView showGridLines="0" topLeftCell="A15" zoomScale="120" zoomScaleNormal="120" workbookViewId="0">
      <selection activeCell="E24" sqref="E24"/>
    </sheetView>
  </sheetViews>
  <sheetFormatPr baseColWidth="10" defaultColWidth="9.1640625" defaultRowHeight="27.75" customHeight="1"/>
  <cols>
    <col min="1" max="1" width="4.5" style="6" customWidth="1"/>
    <col min="2" max="2" width="35.6640625" style="6" bestFit="1" customWidth="1"/>
    <col min="3" max="3" width="14.5" style="7" bestFit="1" customWidth="1"/>
    <col min="4" max="5" width="13.1640625" style="6" bestFit="1" customWidth="1"/>
    <col min="6" max="6" width="13.1640625" style="8" bestFit="1" customWidth="1"/>
    <col min="7" max="7" width="13.1640625" style="7" bestFit="1" customWidth="1"/>
    <col min="8" max="8" width="13.1640625" style="6" bestFit="1" customWidth="1"/>
    <col min="9" max="9" width="13.1640625" style="8" bestFit="1" customWidth="1"/>
    <col min="10" max="10" width="13.1640625" style="7" bestFit="1" customWidth="1"/>
    <col min="11" max="14" width="13.1640625" style="6" bestFit="1" customWidth="1"/>
    <col min="15" max="16384" width="9.1640625" style="6"/>
  </cols>
  <sheetData>
    <row r="1" spans="1:16" s="3" customFormat="1" ht="5.25" customHeight="1"/>
    <row r="2" spans="1:16" s="10" customFormat="1" ht="40.5" customHeight="1">
      <c r="B2" s="10" t="s">
        <v>18</v>
      </c>
      <c r="K2" s="10" t="s">
        <v>0</v>
      </c>
    </row>
    <row r="3" spans="1:16" s="4" customFormat="1" ht="33" customHeight="1">
      <c r="B3" s="12"/>
      <c r="F3" s="9"/>
    </row>
    <row r="4" spans="1:16" s="4" customFormat="1" ht="18.75" customHeight="1">
      <c r="E4" s="1"/>
      <c r="F4" s="20" t="s">
        <v>33</v>
      </c>
      <c r="G4" s="24"/>
      <c r="H4" s="20" t="s">
        <v>6</v>
      </c>
      <c r="I4" s="21"/>
      <c r="J4" s="22"/>
      <c r="K4" s="21"/>
    </row>
    <row r="5" spans="1:16" s="4" customFormat="1" ht="3.75" customHeight="1">
      <c r="E5" s="1"/>
      <c r="F5"/>
      <c r="G5"/>
      <c r="H5"/>
      <c r="I5"/>
      <c r="J5"/>
      <c r="K5"/>
    </row>
    <row r="6" spans="1:16" s="4" customFormat="1" ht="46.5" customHeight="1">
      <c r="E6" s="1"/>
      <c r="F6" s="23">
        <f>SUM(C32:N32)</f>
        <v>7572000</v>
      </c>
      <c r="G6" s="23"/>
      <c r="H6" s="23">
        <f>10000000+TotalMonthlyIncome-TotalMonthlyExpenses</f>
        <v>2691528</v>
      </c>
      <c r="I6" s="23"/>
      <c r="J6" s="23"/>
      <c r="K6" s="23"/>
    </row>
    <row r="7" spans="1:16" s="4" customFormat="1" ht="18.75" customHeight="1">
      <c r="F7" s="20" t="s">
        <v>34</v>
      </c>
      <c r="G7" s="22"/>
      <c r="I7" s="1"/>
      <c r="J7" s="2"/>
    </row>
    <row r="8" spans="1:16" s="4" customFormat="1" ht="3.75" customHeight="1">
      <c r="F8"/>
      <c r="G8"/>
      <c r="I8" s="1"/>
      <c r="J8" s="2"/>
    </row>
    <row r="9" spans="1:16" s="4" customFormat="1" ht="46.5" customHeight="1">
      <c r="E9" s="5"/>
      <c r="F9" s="23">
        <f>SUM(C29:N29)</f>
        <v>14880472</v>
      </c>
      <c r="G9" s="23"/>
      <c r="I9" s="14"/>
    </row>
    <row r="10" spans="1:16" s="4" customFormat="1" ht="18.75" customHeight="1">
      <c r="A10" s="5"/>
      <c r="E10" s="5"/>
      <c r="F10" s="20" t="s">
        <v>2</v>
      </c>
      <c r="G10" s="22"/>
    </row>
    <row r="11" spans="1:16" s="4" customFormat="1" ht="3.75" customHeight="1">
      <c r="A11" s="5"/>
      <c r="E11" s="5"/>
      <c r="F11"/>
      <c r="G11"/>
    </row>
    <row r="12" spans="1:16" s="4" customFormat="1" ht="46.5" customHeight="1">
      <c r="A12" s="5"/>
      <c r="E12" s="5"/>
      <c r="F12" s="25">
        <f>Capital</f>
        <v>2691528</v>
      </c>
      <c r="G12" s="25"/>
    </row>
    <row r="13" spans="1:16" s="4" customFormat="1" ht="18.75" customHeight="1">
      <c r="A13" s="5"/>
      <c r="E13" s="5"/>
      <c r="F13" s="20"/>
      <c r="G13" s="20"/>
    </row>
    <row r="14" spans="1:16" s="4" customFormat="1" ht="3.75" customHeight="1">
      <c r="A14" s="5"/>
      <c r="E14" s="5"/>
      <c r="F14"/>
      <c r="G14"/>
    </row>
    <row r="15" spans="1:16" s="4" customFormat="1" ht="46.5" customHeight="1">
      <c r="A15" s="5"/>
      <c r="E15" s="5"/>
      <c r="F15" s="23"/>
      <c r="G15" s="23"/>
    </row>
    <row r="16" spans="1:16" s="4" customFormat="1" ht="31.5" customHeight="1">
      <c r="B16" s="30"/>
      <c r="C16" s="31" t="s">
        <v>36</v>
      </c>
      <c r="D16" s="31" t="s">
        <v>22</v>
      </c>
      <c r="E16" s="31" t="s">
        <v>23</v>
      </c>
      <c r="F16" s="31" t="s">
        <v>24</v>
      </c>
      <c r="G16" s="31" t="s">
        <v>25</v>
      </c>
      <c r="H16" s="31" t="s">
        <v>26</v>
      </c>
      <c r="I16" s="31" t="s">
        <v>27</v>
      </c>
      <c r="J16" s="31" t="s">
        <v>28</v>
      </c>
      <c r="K16" s="31" t="s">
        <v>29</v>
      </c>
      <c r="L16" s="31" t="s">
        <v>30</v>
      </c>
      <c r="M16" s="31" t="s">
        <v>31</v>
      </c>
      <c r="N16" s="31" t="s">
        <v>32</v>
      </c>
      <c r="O16" s="6"/>
      <c r="P16" s="6"/>
    </row>
    <row r="17" spans="1:16" s="4" customFormat="1" ht="18.75" customHeight="1">
      <c r="B17" s="32" t="s">
        <v>9</v>
      </c>
      <c r="C17" s="33">
        <v>1000000</v>
      </c>
      <c r="D17" s="33">
        <v>1000000</v>
      </c>
      <c r="E17" s="33">
        <v>1000000</v>
      </c>
      <c r="F17" s="33">
        <v>1000000</v>
      </c>
      <c r="G17" s="33">
        <v>1000000</v>
      </c>
      <c r="H17" s="33">
        <v>1000000</v>
      </c>
      <c r="I17" s="33">
        <v>1000000</v>
      </c>
      <c r="J17" s="33">
        <v>1000000</v>
      </c>
      <c r="K17" s="33">
        <v>1000000</v>
      </c>
      <c r="L17" s="33">
        <v>1000000</v>
      </c>
      <c r="M17" s="33">
        <v>1000000</v>
      </c>
      <c r="N17" s="33">
        <v>1000000</v>
      </c>
      <c r="O17" s="6"/>
      <c r="P17" s="6"/>
    </row>
    <row r="18" spans="1:16" ht="28" customHeight="1">
      <c r="A18" s="4"/>
      <c r="B18" s="32" t="s">
        <v>3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</row>
    <row r="19" spans="1:16" ht="28" customHeight="1">
      <c r="A19" s="4"/>
      <c r="B19" s="32" t="s">
        <v>4</v>
      </c>
      <c r="C19" s="33">
        <v>800000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</row>
    <row r="20" spans="1:16" ht="28" customHeight="1">
      <c r="A20" s="4"/>
      <c r="B20" s="32" t="s">
        <v>5</v>
      </c>
      <c r="C20" s="34">
        <v>3206</v>
      </c>
      <c r="D20" s="34">
        <v>3206</v>
      </c>
      <c r="E20" s="34">
        <v>3206</v>
      </c>
      <c r="F20" s="34">
        <v>3206</v>
      </c>
      <c r="G20" s="34">
        <v>3206</v>
      </c>
      <c r="H20" s="34">
        <v>3206</v>
      </c>
      <c r="I20" s="34">
        <v>3206</v>
      </c>
      <c r="J20" s="34">
        <v>3206</v>
      </c>
      <c r="K20" s="34">
        <v>3206</v>
      </c>
      <c r="L20" s="34">
        <v>3206</v>
      </c>
      <c r="M20" s="34">
        <v>3206</v>
      </c>
      <c r="N20" s="34">
        <v>3206</v>
      </c>
    </row>
    <row r="21" spans="1:16" ht="28" customHeight="1">
      <c r="A21" s="4"/>
      <c r="B21" s="32" t="s">
        <v>20</v>
      </c>
      <c r="C21" s="34">
        <v>2000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</row>
    <row r="22" spans="1:16" ht="28" customHeight="1">
      <c r="A22" s="4"/>
      <c r="B22" s="32" t="s">
        <v>7</v>
      </c>
      <c r="C22" s="34">
        <v>70000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</row>
    <row r="23" spans="1:16" ht="28" customHeight="1">
      <c r="A23" s="4"/>
      <c r="B23" s="32" t="s">
        <v>13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</row>
    <row r="24" spans="1:16" ht="28" customHeight="1">
      <c r="A24" s="4"/>
      <c r="B24" s="32" t="s">
        <v>14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</row>
    <row r="25" spans="1:16" ht="28" customHeight="1">
      <c r="A25" s="4"/>
      <c r="B25" s="32" t="s">
        <v>15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spans="1:16" ht="28" customHeight="1">
      <c r="A26" s="4"/>
      <c r="B26" s="32" t="s">
        <v>16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</row>
    <row r="27" spans="1:16" ht="28" customHeight="1">
      <c r="A27" s="4"/>
      <c r="B27" s="32" t="s">
        <v>19</v>
      </c>
      <c r="C27" s="34">
        <v>50000</v>
      </c>
      <c r="D27" s="35"/>
      <c r="E27" s="36"/>
      <c r="F27" s="37"/>
      <c r="G27" s="38"/>
      <c r="H27" s="39"/>
      <c r="I27" s="40"/>
      <c r="J27" s="41"/>
      <c r="K27" s="35"/>
      <c r="L27" s="42"/>
      <c r="M27" s="42"/>
      <c r="N27" s="42"/>
    </row>
    <row r="28" spans="1:16" ht="28" customHeight="1">
      <c r="A28" s="4"/>
      <c r="B28" s="32" t="s">
        <v>17</v>
      </c>
      <c r="C28" s="34">
        <v>160000</v>
      </c>
      <c r="D28" s="34">
        <v>160000</v>
      </c>
      <c r="E28" s="34">
        <v>160000</v>
      </c>
      <c r="F28" s="34">
        <v>160000</v>
      </c>
      <c r="G28" s="34">
        <v>160000</v>
      </c>
      <c r="H28" s="34">
        <v>160000</v>
      </c>
      <c r="I28" s="34">
        <v>160000</v>
      </c>
      <c r="J28" s="34">
        <v>160000</v>
      </c>
      <c r="K28" s="34">
        <v>160000</v>
      </c>
      <c r="L28" s="34">
        <v>160000</v>
      </c>
      <c r="M28" s="34">
        <v>160000</v>
      </c>
      <c r="N28" s="34">
        <v>160000</v>
      </c>
    </row>
    <row r="29" spans="1:16" ht="28" customHeight="1">
      <c r="A29" s="4"/>
      <c r="B29" s="28" t="s">
        <v>21</v>
      </c>
      <c r="C29" s="27">
        <f>SUM(C17:C28)</f>
        <v>2085206</v>
      </c>
      <c r="D29" s="27">
        <f t="shared" ref="D29:N29" si="0">SUM(D17:D28)</f>
        <v>1163206</v>
      </c>
      <c r="E29" s="27">
        <f t="shared" si="0"/>
        <v>1163206</v>
      </c>
      <c r="F29" s="27">
        <f t="shared" si="0"/>
        <v>1163206</v>
      </c>
      <c r="G29" s="27">
        <f t="shared" si="0"/>
        <v>1163206</v>
      </c>
      <c r="H29" s="27">
        <f t="shared" si="0"/>
        <v>1163206</v>
      </c>
      <c r="I29" s="27">
        <f t="shared" si="0"/>
        <v>1163206</v>
      </c>
      <c r="J29" s="27">
        <f t="shared" si="0"/>
        <v>1163206</v>
      </c>
      <c r="K29" s="27">
        <f t="shared" si="0"/>
        <v>1163206</v>
      </c>
      <c r="L29" s="27">
        <f t="shared" si="0"/>
        <v>1163206</v>
      </c>
      <c r="M29" s="27">
        <f t="shared" si="0"/>
        <v>1163206</v>
      </c>
      <c r="N29" s="27">
        <f t="shared" si="0"/>
        <v>1163206</v>
      </c>
    </row>
    <row r="30" spans="1:16" ht="28" customHeight="1">
      <c r="A30" s="4"/>
      <c r="B30" s="32" t="s">
        <v>10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</row>
    <row r="31" spans="1:16" ht="27.75" customHeight="1">
      <c r="B31" s="32" t="s">
        <v>11</v>
      </c>
      <c r="C31" s="34">
        <v>631000</v>
      </c>
      <c r="D31" s="34">
        <v>631000</v>
      </c>
      <c r="E31" s="34">
        <v>631000</v>
      </c>
      <c r="F31" s="34">
        <v>631000</v>
      </c>
      <c r="G31" s="34">
        <v>631000</v>
      </c>
      <c r="H31" s="34">
        <v>631000</v>
      </c>
      <c r="I31" s="34">
        <v>631000</v>
      </c>
      <c r="J31" s="34">
        <v>631000</v>
      </c>
      <c r="K31" s="34">
        <v>631000</v>
      </c>
      <c r="L31" s="34">
        <v>631000</v>
      </c>
      <c r="M31" s="34">
        <v>631000</v>
      </c>
      <c r="N31" s="34">
        <v>631000</v>
      </c>
    </row>
    <row r="32" spans="1:16" ht="27.75" customHeight="1">
      <c r="B32" s="29" t="s">
        <v>12</v>
      </c>
      <c r="C32" s="26">
        <f>SUM(C30:C31)</f>
        <v>631000</v>
      </c>
      <c r="D32" s="26">
        <f t="shared" ref="D32:N32" si="1">SUM(D30:D31)</f>
        <v>631000</v>
      </c>
      <c r="E32" s="26">
        <f t="shared" si="1"/>
        <v>631000</v>
      </c>
      <c r="F32" s="26">
        <f t="shared" si="1"/>
        <v>631000</v>
      </c>
      <c r="G32" s="26">
        <f t="shared" si="1"/>
        <v>631000</v>
      </c>
      <c r="H32" s="26">
        <f t="shared" si="1"/>
        <v>631000</v>
      </c>
      <c r="I32" s="26">
        <f t="shared" si="1"/>
        <v>631000</v>
      </c>
      <c r="J32" s="26">
        <f t="shared" si="1"/>
        <v>631000</v>
      </c>
      <c r="K32" s="26">
        <f t="shared" si="1"/>
        <v>631000</v>
      </c>
      <c r="L32" s="26">
        <f t="shared" si="1"/>
        <v>631000</v>
      </c>
      <c r="M32" s="26">
        <f t="shared" si="1"/>
        <v>631000</v>
      </c>
      <c r="N32" s="26">
        <f t="shared" si="1"/>
        <v>631000</v>
      </c>
    </row>
  </sheetData>
  <mergeCells count="11">
    <mergeCell ref="F9:G9"/>
    <mergeCell ref="F10:G10"/>
    <mergeCell ref="F12:G12"/>
    <mergeCell ref="F13:G13"/>
    <mergeCell ref="F15:G15"/>
    <mergeCell ref="F4:G4"/>
    <mergeCell ref="H4:I4"/>
    <mergeCell ref="J4:K4"/>
    <mergeCell ref="F6:G6"/>
    <mergeCell ref="H6:K6"/>
    <mergeCell ref="F7:G7"/>
  </mergeCells>
  <phoneticPr fontId="9"/>
  <printOptions horizontalCentered="1"/>
  <pageMargins left="0.4" right="0.4" top="0.4" bottom="0.4" header="0.25" footer="0.25"/>
  <pageSetup scale="71" fitToHeight="0" orientation="portrait" r:id="rId1"/>
  <headerFooter differentFirst="1">
    <oddFooter>&amp;CPage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5081F78-761C-9B47-8BE2-673EA0733EAA}">
            <xm:f>'Chart Data'!$B$6</xm:f>
            <x14:dxf>
              <font>
                <color theme="7"/>
              </font>
            </x14:dxf>
          </x14:cfRule>
          <xm:sqref>F15:G15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249977111117893"/>
  </sheetPr>
  <dimension ref="B2:B6"/>
  <sheetViews>
    <sheetView workbookViewId="0">
      <selection activeCell="B7" sqref="B7"/>
    </sheetView>
  </sheetViews>
  <sheetFormatPr baseColWidth="10" defaultColWidth="8.83203125" defaultRowHeight="13"/>
  <cols>
    <col min="1" max="1" width="1.6640625" customWidth="1"/>
  </cols>
  <sheetData>
    <row r="2" spans="2:2">
      <c r="B2" t="s">
        <v>1</v>
      </c>
    </row>
    <row r="4" spans="2:2">
      <c r="B4" s="11" t="e">
        <f>MIN(1,1-B5)</f>
        <v>#REF!</v>
      </c>
    </row>
    <row r="5" spans="2:2">
      <c r="B5" s="11" t="e">
        <f>MIN(TotalMonthlyExpenses/TotalMonthlyIncome,1)</f>
        <v>#REF!</v>
      </c>
    </row>
    <row r="6" spans="2:2">
      <c r="B6" t="e">
        <f>(TotalMonthlyExpenses/TotalMonthlyIncome)&gt;1</f>
        <v>#REF!</v>
      </c>
    </row>
  </sheetData>
  <phoneticPr fontId="9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TM10000049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27</vt:i4>
      </vt:variant>
    </vt:vector>
  </HeadingPairs>
  <TitlesOfParts>
    <vt:vector size="32" baseType="lpstr">
      <vt:lpstr>3年間概念</vt:lpstr>
      <vt:lpstr>2026年</vt:lpstr>
      <vt:lpstr>2027年</vt:lpstr>
      <vt:lpstr>2028年</vt:lpstr>
      <vt:lpstr>Chart Data</vt:lpstr>
      <vt:lpstr>'2026年'!Capital</vt:lpstr>
      <vt:lpstr>'2027年'!Capital</vt:lpstr>
      <vt:lpstr>'2028年'!Capital</vt:lpstr>
      <vt:lpstr>'2026年'!Print_Titles</vt:lpstr>
      <vt:lpstr>'2027年'!Print_Titles</vt:lpstr>
      <vt:lpstr>'2028年'!Print_Titles</vt:lpstr>
      <vt:lpstr>'2026年'!TotalMonthlyExpenses</vt:lpstr>
      <vt:lpstr>'2027年'!TotalMonthlyExpenses</vt:lpstr>
      <vt:lpstr>'2028年'!TotalMonthlyExpenses</vt:lpstr>
      <vt:lpstr>'2026年'!TotalMonthlyIncome</vt:lpstr>
      <vt:lpstr>'2027年'!TotalMonthlyIncome</vt:lpstr>
      <vt:lpstr>'2028年'!TotalMonthlyIncome</vt:lpstr>
      <vt:lpstr>'2026年'!TotalMonthlySavings</vt:lpstr>
      <vt:lpstr>'2027年'!TotalMonthlySavings</vt:lpstr>
      <vt:lpstr>'2028年'!TotalMonthlySavings</vt:lpstr>
      <vt:lpstr>'2026年'!月収</vt:lpstr>
      <vt:lpstr>'2027年'!月収</vt:lpstr>
      <vt:lpstr>'2028年'!月収</vt:lpstr>
      <vt:lpstr>'2026年'!月収入源</vt:lpstr>
      <vt:lpstr>'2027年'!月収入源</vt:lpstr>
      <vt:lpstr>'2028年'!月収入源</vt:lpstr>
      <vt:lpstr>'2026年'!資本金</vt:lpstr>
      <vt:lpstr>'2027年'!資本金</vt:lpstr>
      <vt:lpstr>'2028年'!資本金</vt:lpstr>
      <vt:lpstr>'2026年'!売上総利益</vt:lpstr>
      <vt:lpstr>'2027年'!売上総利益</vt:lpstr>
      <vt:lpstr>'2028年'!売上総利益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 Lucas</dc:creator>
  <cp:lastModifiedBy>Santos Lucas</cp:lastModifiedBy>
  <dcterms:created xsi:type="dcterms:W3CDTF">2014-09-09T12:15:28Z</dcterms:created>
  <dcterms:modified xsi:type="dcterms:W3CDTF">2026-06-10T02:57:06Z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tID">
    <vt:lpwstr>TF10000002</vt:lpwstr>
  </property>
</Properties>
</file>